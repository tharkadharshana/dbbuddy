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Pricing" sheetId="1" state="visible" r:id="rId3"/>
    <sheet name="2. Security &amp; Privacy" sheetId="2" state="visible" r:id="rId4"/>
    <sheet name="3. Reliability &amp; Uptime" sheetId="3" state="visible" r:id="rId5"/>
    <sheet name="4. Cost Calculator" sheetId="4" state="visible" r:id="rId6"/>
    <sheet name="5. Verdict &amp; Recommendation" sheetId="5" state="visible" r:id="rId7"/>
    <sheet name="6. Sources &amp; Referenc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<sst xmlns="http://schemas.openxmlformats.org/spreadsheetml/2006/main" count="693" uniqueCount="485">
  <si>
    <t xml:space="preserve">LLM API Pricing Comparison — May 2026</t>
  </si>
  <si>
    <t xml:space="preserve">Provider</t>
  </si>
  <si>
    <t xml:space="preserve">Model</t>
  </si>
  <si>
    <t xml:space="preserve">Input $/MTok</t>
  </si>
  <si>
    <t xml:space="preserve">Output $/MTok</t>
  </si>
  <si>
    <t xml:space="preserve">Cached Input $/MTok</t>
  </si>
  <si>
    <t xml:space="preserve">Context Window</t>
  </si>
  <si>
    <t xml:space="preserve">Batch Discount</t>
  </si>
  <si>
    <t xml:space="preserve">Free Tier</t>
  </si>
  <si>
    <t xml:space="preserve">Recommended Use</t>
  </si>
  <si>
    <t xml:space="preserve">Notes / Source</t>
  </si>
  <si>
    <t xml:space="preserve">OpenAI</t>
  </si>
  <si>
    <t xml:space="preserve">GPT-4.1 Mini</t>
  </si>
  <si>
    <t xml:space="preserve">$0.40</t>
  </si>
  <si>
    <t xml:space="preserve">$1.60</t>
  </si>
  <si>
    <t xml:space="preserve">$0.04 (90% off)</t>
  </si>
  <si>
    <t xml:space="preserve">1M tokens</t>
  </si>
  <si>
    <t xml:space="preserve">50% off</t>
  </si>
  <si>
    <t xml:space="preserve">No</t>
  </si>
  <si>
    <t xml:space="preserve">★ Top pick — query gen + answer synthesis</t>
  </si>
  <si>
    <t xml:space="preserve">Best balance of cost, quality, SLA. Strong SQL/structured output. Source: openai.com/api/pricing</t>
  </si>
  <si>
    <t xml:space="preserve">GPT-4.1 Nano</t>
  </si>
  <si>
    <t xml:space="preserve">$0.10</t>
  </si>
  <si>
    <t xml:space="preserve">$0.01 (90% off)</t>
  </si>
  <si>
    <t xml:space="preserve">Simple routing / schema lookup</t>
  </si>
  <si>
    <t xml:space="preserve">20x cheaper than Mini. Use for classification, simple queries. Source: openai.com/api/pricing</t>
  </si>
  <si>
    <t xml:space="preserve">GPT-4.1 (full)</t>
  </si>
  <si>
    <t xml:space="preserve">$2.00</t>
  </si>
  <si>
    <t xml:space="preserve">$8.00</t>
  </si>
  <si>
    <t xml:space="preserve">$0.20 (90% off)</t>
  </si>
  <si>
    <t xml:space="preserve">Complex reasoning only</t>
  </si>
  <si>
    <t xml:space="preserve">Only if Mini quality insufficient. Source: openai.com/api/pricing</t>
  </si>
  <si>
    <t xml:space="preserve">GPT-4o (legacy)</t>
  </si>
  <si>
    <t xml:space="preserve">$2.50</t>
  </si>
  <si>
    <t xml:space="preserve">$10.00</t>
  </si>
  <si>
    <t xml:space="preserve">$1.25 (50% off)</t>
  </si>
  <si>
    <t xml:space="preserve">128K tokens</t>
  </si>
  <si>
    <t xml:space="preserve">Legacy / existing integrations</t>
  </si>
  <si>
    <t xml:space="preserve">Grandfathered pricing. 128K context only. Source: openai.com/api/pricing</t>
  </si>
  <si>
    <t xml:space="preserve">Google</t>
  </si>
  <si>
    <t xml:space="preserve">Gemini 2.5 Flash</t>
  </si>
  <si>
    <t xml:space="preserve">$0.30</t>
  </si>
  <si>
    <t xml:space="preserve">$0.03 (90% off)</t>
  </si>
  <si>
    <t xml:space="preserve">Yes (rate-limited)</t>
  </si>
  <si>
    <t xml:space="preserve">★ Runner-up — cheapest reliable model</t>
  </si>
  <si>
    <t xml:space="preserve">Flat pricing, no long-context surcharge. Source: ai.google.dev/pricing</t>
  </si>
  <si>
    <t xml:space="preserve">Gemini 2.5 Flash-Lite</t>
  </si>
  <si>
    <t xml:space="preserve">Yes</t>
  </si>
  <si>
    <t xml:space="preserve">Ultra-cheap routing layer</t>
  </si>
  <si>
    <t xml:space="preserve">Lowest cost capable model. Source: ai.google.dev/pricing</t>
  </si>
  <si>
    <t xml:space="preserve">Gemini 2.5 Pro</t>
  </si>
  <si>
    <t xml:space="preserve">$1.25</t>
  </si>
  <si>
    <t xml:space="preserve">$0.125 (90% off)</t>
  </si>
  <si>
    <t xml:space="preserve">1M tokens (≤200K)</t>
  </si>
  <si>
    <t xml:space="preserve">Yes (very limited)</t>
  </si>
  <si>
    <t xml:space="preserve">Complex reasoning</t>
  </si>
  <si>
    <t xml:space="preserve">Doubles to $2.50 input above 200K tokens. Source: ai.google.dev/pricing</t>
  </si>
  <si>
    <t xml:space="preserve">Mistral AI</t>
  </si>
  <si>
    <t xml:space="preserve">Mistral Small 3.2</t>
  </si>
  <si>
    <t xml:space="preserve">No caching</t>
  </si>
  <si>
    <t xml:space="preserve">EU data residency — simple tasks</t>
  </si>
  <si>
    <t xml:space="preserve">GDPR-compliant, EU servers. No prompt caching. Source: mistral.ai/pricing</t>
  </si>
  <si>
    <t xml:space="preserve">Mistral Large 2</t>
  </si>
  <si>
    <t xml:space="preserve">$6.00</t>
  </si>
  <si>
    <t xml:space="preserve">EU data residency — complex tasks</t>
  </si>
  <si>
    <t xml:space="preserve">60% cheaper output vs GPT-4.1. No caching disadvantage at scale. Source: mistral.ai/pricing</t>
  </si>
  <si>
    <t xml:space="preserve">DeepSeek</t>
  </si>
  <si>
    <t xml:space="preserve">V4 Flash (direct API)</t>
  </si>
  <si>
    <t xml:space="preserve">$0.14</t>
  </si>
  <si>
    <t xml:space="preserve">$0.28</t>
  </si>
  <si>
    <t xml:space="preserve">$0.0028 (98% off)</t>
  </si>
  <si>
    <t xml:space="preserve">N/A</t>
  </si>
  <si>
    <t xml:space="preserve">5M tokens promo</t>
  </si>
  <si>
    <t xml:space="preserve">⚠ NOT RECOMMENDED for business data</t>
  </si>
  <si>
    <t xml:space="preserve">Data stored in China. Chinese govt access risk. Source: api-docs.deepseek.com</t>
  </si>
  <si>
    <t xml:space="preserve">V4 Pro (direct API, promo)</t>
  </si>
  <si>
    <t xml:space="preserve">$0.435</t>
  </si>
  <si>
    <t xml:space="preserve">$0.87</t>
  </si>
  <si>
    <t xml:space="preserve">$0.003625 (99% off)</t>
  </si>
  <si>
    <t xml:space="preserve">⚠ NOT RECOMMENDED — promo until May 31</t>
  </si>
  <si>
    <t xml:space="preserve">75% discount expires May 31, 2026. Full price $1.74/$3.48. Source: api-docs.deepseek.com</t>
  </si>
  <si>
    <t xml:space="preserve">V4 Pro (post-promo)</t>
  </si>
  <si>
    <t xml:space="preserve">$1.74</t>
  </si>
  <si>
    <t xml:space="preserve">$3.48</t>
  </si>
  <si>
    <t xml:space="preserve">$0.015</t>
  </si>
  <si>
    <t xml:space="preserve">Regular rate after May 31. Still China data risk. Source: api-docs.deepseek.com</t>
  </si>
  <si>
    <t xml:space="preserve">OpenRouter</t>
  </si>
  <si>
    <t xml:space="preserve">(as gateway — any model)</t>
  </si>
  <si>
    <t xml:space="preserve">Model price + 5.5%</t>
  </si>
  <si>
    <t xml:space="preserve">Varies</t>
  </si>
  <si>
    <t xml:space="preserve">50 req/day (free models)</t>
  </si>
  <si>
    <t xml:space="preserve">Prototyping / model testing only</t>
  </si>
  <si>
    <t xml:space="preserve">No SLA. 3 outages in 8 months. 5.5% platform fee. Source: tokenmix.ai review Apr 2026</t>
  </si>
  <si>
    <t xml:space="preserve">DeepSeek V3/V4 via OpenRouter</t>
  </si>
  <si>
    <t xml:space="preserve">~$0.20</t>
  </si>
  <si>
    <t xml:space="preserve">~$0.77</t>
  </si>
  <si>
    <t xml:space="preserve">163K tokens</t>
  </si>
  <si>
    <t xml:space="preserve">⚠ Data still reaches China servers</t>
  </si>
  <si>
    <t xml:space="preserve">OpenRouter is a proxy — doesn't fix DeepSeek data sovereignty. Source: openrouter.ai</t>
  </si>
  <si>
    <t xml:space="preserve">Groq</t>
  </si>
  <si>
    <t xml:space="preserve">Llama 4 70B Instruct</t>
  </si>
  <si>
    <t xml:space="preserve">$0.59</t>
  </si>
  <si>
    <t xml:space="preserve">$0.79</t>
  </si>
  <si>
    <t xml:space="preserve">Latency-critical flows (sub-100ms)</t>
  </si>
  <si>
    <t xml:space="preserve">LPU hardware, 500+ tok/s. Context limit constrains large payloads. Source: groq.com/pricing</t>
  </si>
  <si>
    <t xml:space="preserve">Llama 4 Scout</t>
  </si>
  <si>
    <t xml:space="preserve">~$0.11</t>
  </si>
  <si>
    <t xml:space="preserve">~$0.34</t>
  </si>
  <si>
    <t xml:space="preserve">Fast + cheap open-weight</t>
  </si>
  <si>
    <t xml:space="preserve">594 tok/s. Smaller model. Source: groq.com/pricing</t>
  </si>
  <si>
    <t xml:space="preserve">Together AI</t>
  </si>
  <si>
    <t xml:space="preserve">DeepSeek V4 (hosted)</t>
  </si>
  <si>
    <t xml:space="preserve">~$0.27</t>
  </si>
  <si>
    <t xml:space="preserve">$1 credit</t>
  </si>
  <si>
    <t xml:space="preserve">Open-weight models, US hosted</t>
  </si>
  <si>
    <t xml:space="preserve">Hosts DeepSeek weights on US servers — fixes data sovereignty. Source: together.ai/pricing</t>
  </si>
  <si>
    <t xml:space="preserve">Llama 4 Maverick</t>
  </si>
  <si>
    <t xml:space="preserve">~$0.85</t>
  </si>
  <si>
    <t xml:space="preserve">Budget open-weight alternative</t>
  </si>
  <si>
    <t xml:space="preserve">100+ models available. Source: together.ai/pricing</t>
  </si>
  <si>
    <t xml:space="preserve">LEGEND: Green = Recommended  |  Amber = Use with caution  |  Red = Avoid for business data  |  Teal = EU-specific use case  |  MTok = 1 million tokens  |  Batch = async 24hr processing discount</t>
  </si>
  <si>
    <t xml:space="preserve">LLM API Security &amp; Data Protection — May 2026</t>
  </si>
  <si>
    <t xml:space="preserve">Data Location</t>
  </si>
  <si>
    <t xml:space="preserve">No Training on API Data?</t>
  </si>
  <si>
    <t xml:space="preserve">SOC 2</t>
  </si>
  <si>
    <t xml:space="preserve">HIPAA BAA</t>
  </si>
  <si>
    <t xml:space="preserve">GDPR Compliant</t>
  </si>
  <si>
    <t xml:space="preserve">ISO 27001</t>
  </si>
  <si>
    <t xml:space="preserve">FedRAMP</t>
  </si>
  <si>
    <t xml:space="preserve">Data Residency Options</t>
  </si>
  <si>
    <t xml:space="preserve">Enterprise Contract Needed?</t>
  </si>
  <si>
    <t xml:space="preserve">Sources / Notes</t>
  </si>
  <si>
    <t xml:space="preserve">OpenAI (direct API)</t>
  </si>
  <si>
    <t xml:space="preserve">US servers</t>
  </si>
  <si>
    <t xml:space="preserve">YES — confirmed</t>
  </si>
  <si>
    <t xml:space="preserve">YES</t>
  </si>
  <si>
    <t xml:space="preserve">YES (enterprise BAA required)</t>
  </si>
  <si>
    <t xml:space="preserve">None without Azure</t>
  </si>
  <si>
    <t xml:space="preserve">YES for HIPAA/enterprise</t>
  </si>
  <si>
    <t xml:space="preserve">No training on API data by default. Enterprise BAA required for HIPAA. Source: openai.com/enterprise-privacy</t>
  </si>
  <si>
    <t xml:space="preserve">OpenAI via Azure OpenAI</t>
  </si>
  <si>
    <t xml:space="preserve">Your Azure region (27+ regions)</t>
  </si>
  <si>
    <t xml:space="preserve">YES (via MS Online DPA)</t>
  </si>
  <si>
    <t xml:space="preserve">27+ global regions, EU/US Data Zones</t>
  </si>
  <si>
    <t xml:space="preserve">For regulated industries</t>
  </si>
  <si>
    <t xml:space="preserve">VNet isolation, private endpoints, PTU capacity. Best enterprise option. Source: azure.microsoft.com/compliance</t>
  </si>
  <si>
    <t xml:space="preserve">Google Gemini (AI Studio)</t>
  </si>
  <si>
    <t xml:space="preserve">US (default)</t>
  </si>
  <si>
    <t xml:space="preserve">Limited</t>
  </si>
  <si>
    <t xml:space="preserve">YES (basic)</t>
  </si>
  <si>
    <t xml:space="preserve">No — standard tier</t>
  </si>
  <si>
    <t xml:space="preserve">Not recommended for sensitive data. Standard consumer product. Source: ai.google.dev</t>
  </si>
  <si>
    <t xml:space="preserve">Google Gemini (Vertex AI)</t>
  </si>
  <si>
    <t xml:space="preserve">GCP region of choice</t>
  </si>
  <si>
    <t xml:space="preserve">YES (click-through BAA)</t>
  </si>
  <si>
    <t xml:space="preserve">YES (via GCP)</t>
  </si>
  <si>
    <t xml:space="preserve">Global GCP regions including EU</t>
  </si>
  <si>
    <t xml:space="preserve">No for standard</t>
  </si>
  <si>
    <t xml:space="preserve">No training on Vertex data. Inherits GCP compliance. Source: cloud.google.com/vertex-ai/docs/general/data-governance</t>
  </si>
  <si>
    <t xml:space="preserve">France / EU</t>
  </si>
  <si>
    <t xml:space="preserve">In progress*</t>
  </si>
  <si>
    <t xml:space="preserve">No formal BAA</t>
  </si>
  <si>
    <t xml:space="preserve">YES — strong</t>
  </si>
  <si>
    <t xml:space="preserve">EU only</t>
  </si>
  <si>
    <t xml:space="preserve">Enterprise plans</t>
  </si>
  <si>
    <t xml:space="preserve">Best EU data residency. Data never leaves Europe. Strong GDPR by design. Source: mistral.ai/terms</t>
  </si>
  <si>
    <t xml:space="preserve">DeepSeek (direct API)</t>
  </si>
  <si>
    <t xml:space="preserve">China (PRC servers) ⚠</t>
  </si>
  <si>
    <t xml:space="preserve">UNKNOWN / RISK</t>
  </si>
  <si>
    <t xml:space="preserve">NO</t>
  </si>
  <si>
    <t xml:space="preserve">NO — GDPR violations found</t>
  </si>
  <si>
    <t xml:space="preserve">None — China only</t>
  </si>
  <si>
    <t xml:space="preserve">Data stored in China. Feroot Security found hidden ByteDance code. EU regulators (Italy, Germany) blocked/investigated. Chinese law allows govt access. Source: IAPP Feb 2026, SecurityScorecard, Feroot Security</t>
  </si>
  <si>
    <t xml:space="preserve">DeepSeek via OpenRouter</t>
  </si>
  <si>
    <t xml:space="preserve">Ultimately China ⚠</t>
  </si>
  <si>
    <t xml:space="preserve">UNKNOWN</t>
  </si>
  <si>
    <t xml:space="preserve">None</t>
  </si>
  <si>
    <t xml:space="preserve">OpenRouter is a transparent proxy — data still reaches DeepSeek's China servers. Does NOT fix data sovereignty. Source: tokenmix.ai</t>
  </si>
  <si>
    <t xml:space="preserve">DeepSeek (self-hosted weights)</t>
  </si>
  <si>
    <t xml:space="preserve">Your own servers</t>
  </si>
  <si>
    <t xml:space="preserve">YES — you control</t>
  </si>
  <si>
    <t xml:space="preserve">Your responsibility</t>
  </si>
  <si>
    <t xml:space="preserve">Fully flexible</t>
  </si>
  <si>
    <t xml:space="preserve">Open-source MIT weights. Self-host on your infra = no China data risk. Requires GPU infra + MLOps team. Source: github.com/deepseek-ai</t>
  </si>
  <si>
    <t xml:space="preserve">OpenRouter (gateway)</t>
  </si>
  <si>
    <t xml:space="preserve">Varies by model</t>
  </si>
  <si>
    <t xml:space="preserve">NO formal cert</t>
  </si>
  <si>
    <t xml:space="preserve">None at gateway level</t>
  </si>
  <si>
    <t xml:space="preserve">No formal compliance at gateway level. Security depends entirely on chosen underlying provider. Source: openrouter.ai/privacy</t>
  </si>
  <si>
    <t xml:space="preserve">US (LPU data centers)</t>
  </si>
  <si>
    <t xml:space="preserve">YES (SOC2 Type II)</t>
  </si>
  <si>
    <t xml:space="preserve">Partial</t>
  </si>
  <si>
    <t xml:space="preserve">US only</t>
  </si>
  <si>
    <t xml:space="preserve">Open-weight models only (Llama, Mistral, Qwen). No HIPAA BAA. Good for non-regulated data. Source: groq.com/security</t>
  </si>
  <si>
    <t xml:space="preserve">US (AWS-based)</t>
  </si>
  <si>
    <t xml:space="preserve">US primarily</t>
  </si>
  <si>
    <t xml:space="preserve">US-hosted open-weight models. Good alternative for DeepSeek weights without China risk. Source: together.ai/privacy</t>
  </si>
  <si>
    <t xml:space="preserve">⚠ CRITICAL: DeepSeek stores all API data on servers in China. Chinese law (Cybersecurity Law 2017, Data Security Law 2021) requires companies to provide data to the government on request. Multiple EU regulators have blocked or investigated DeepSeek. Do NOT send business/customer data via DeepSeek direct API.</t>
  </si>
  <si>
    <t xml:space="preserve">LLM API Reliability &amp; Uptime — May 2026</t>
  </si>
  <si>
    <t xml:space="preserve">Provider / Deployment</t>
  </si>
  <si>
    <t xml:space="preserve">Uptime SLA</t>
  </si>
  <si>
    <t xml:space="preserve">SLA Contractual?</t>
  </si>
  <si>
    <t xml:space="preserve">Rate Limits</t>
  </si>
  <si>
    <t xml:space="preserve">Latency (TTFT)</t>
  </si>
  <si>
    <t xml:space="preserve">Throughput</t>
  </si>
  <si>
    <t xml:space="preserve">Failover / Redundancy</t>
  </si>
  <si>
    <t xml:space="preserve">Geopolitical / Availability Risk</t>
  </si>
  <si>
    <t xml:space="preserve">OpenAI — Standard Tier</t>
  </si>
  <si>
    <t xml:space="preserve">~99%+ (best-effort)</t>
  </si>
  <si>
    <t xml:space="preserve">Tier-based; highest defaults of any provider</t>
  </si>
  <si>
    <t xml:space="preserve">Moderate</t>
  </si>
  <si>
    <t xml:space="preserve">Standard GPU</t>
  </si>
  <si>
    <t xml:space="preserve">Automatic retries, multiple regions</t>
  </si>
  <si>
    <t xml:space="preserve">Low — US company, stable</t>
  </si>
  <si>
    <t xml:space="preserve">No contractual guarantee at standard. High limits. Source: openai.com/api/pricing</t>
  </si>
  <si>
    <t xml:space="preserve">OpenAI — Scale Tier</t>
  </si>
  <si>
    <t xml:space="preserve">99.9% SLA</t>
  </si>
  <si>
    <t xml:space="preserve">YES ✓</t>
  </si>
  <si>
    <t xml:space="preserve">Priority compute, reserved capacity</t>
  </si>
  <si>
    <t xml:space="preserve">Low (priority)</t>
  </si>
  <si>
    <t xml:space="preserve">High (reserved PTU)</t>
  </si>
  <si>
    <t xml:space="preserve">Priority routing, dedicated capacity</t>
  </si>
  <si>
    <t xml:space="preserve">Low</t>
  </si>
  <si>
    <t xml:space="preserve">Contractual 99.9%. Input unit bundles per model. Source: openai.com/api-scale-tier</t>
  </si>
  <si>
    <t xml:space="preserve">PTU for guaranteed throughput</t>
  </si>
  <si>
    <t xml:space="preserve">Low (PTU)</t>
  </si>
  <si>
    <t xml:space="preserve">Very high (PTU)</t>
  </si>
  <si>
    <t xml:space="preserve">VNet, private endpoints, multi-region</t>
  </si>
  <si>
    <t xml:space="preserve">Very Low — Azure global infra</t>
  </si>
  <si>
    <t xml:space="preserve">Best enterprise SLA. ISO, SOC, HIPAA, FedRAMP. Source: azure.microsoft.com/sla</t>
  </si>
  <si>
    <t xml:space="preserve">Google Gemini via Vertex AI</t>
  </si>
  <si>
    <t xml:space="preserve">99.9% SLA (GCP standard)</t>
  </si>
  <si>
    <t xml:space="preserve">GCP quota management</t>
  </si>
  <si>
    <t xml:space="preserve">Very high</t>
  </si>
  <si>
    <t xml:space="preserve">Multi-region GCP, global load balancing</t>
  </si>
  <si>
    <t xml:space="preserve">Very Low — Google global infra</t>
  </si>
  <si>
    <t xml:space="preserve">Inherits GCP SLA. Scale to massive throughput. Source: cloud.google.com/terms/sla</t>
  </si>
  <si>
    <t xml:space="preserve">Mistral AI (direct)</t>
  </si>
  <si>
    <t xml:space="preserve">~99.5% (estimated)</t>
  </si>
  <si>
    <t xml:space="preserve">NO — no published SLA</t>
  </si>
  <si>
    <t xml:space="preserve">Moderate (smaller infra)</t>
  </si>
  <si>
    <t xml:space="preserve">Single-provider; less redundancy</t>
  </si>
  <si>
    <t xml:space="preserve">Low — EU company, stable</t>
  </si>
  <si>
    <t xml:space="preserve">Smaller infra than Big 3. Generally stable. No formal SLA published for standard. Source: mistral.ai/terms</t>
  </si>
  <si>
    <t xml:space="preserve">No SLA</t>
  </si>
  <si>
    <t xml:space="preserve">Variable; rate limits hit frequently at peak</t>
  </si>
  <si>
    <t xml:space="preserve">Lower than Western providers</t>
  </si>
  <si>
    <t xml:space="preserve">Minimal</t>
  </si>
  <si>
    <t xml:space="preserve">HIGH — China-based; ban risk; geopolitical uncertainty</t>
  </si>
  <si>
    <t xml:space="preserve">No SLA. Frequent rate-limit issues. Could be cut off by government action or bans. Source: felloai.com/deepseek-pricing</t>
  </si>
  <si>
    <t xml:space="preserve">20 RPM free; no platform limits on paid (provider limits still apply)</t>
  </si>
  <si>
    <t xml:space="preserve">~25ms added latency overhead</t>
  </si>
  <si>
    <t xml:space="preserve">Depends on provider</t>
  </si>
  <si>
    <t xml:space="preserve">Auto-failover between providers (real feature)</t>
  </si>
  <si>
    <t xml:space="preserve">Medium — depends on upstream providers</t>
  </si>
  <si>
    <t xml:space="preserve">3 outages in 8 months (35–50 min each). No credits for downtime. Source: tokenmix.ai/blog/is-openrouter-reliable Apr 2026</t>
  </si>
  <si>
    <t xml:space="preserve">Groq (direct)</t>
  </si>
  <si>
    <t xml:space="preserve">~99% (estimated)</t>
  </si>
  <si>
    <t xml:space="preserve">Lower than OpenAI; tighter caps</t>
  </si>
  <si>
    <t xml:space="preserve">FASTEST — sub-100ms typical</t>
  </si>
  <si>
    <t xml:space="preserve">840 tok/s (Llama 4 8B), 500+ tok/s (70B)</t>
  </si>
  <si>
    <t xml:space="preserve">LPU data centers, US</t>
  </si>
  <si>
    <t xml:space="preserve">Low — US company</t>
  </si>
  <si>
    <t xml:space="preserve">World's fastest inference. Rate limits tighter than OpenAI. No HIPAA BAA. Source: groq.com/pricing, futureagi.com</t>
  </si>
  <si>
    <t xml:space="preserve">Together AI (direct)</t>
  </si>
  <si>
    <t xml:space="preserve">Moderate; batch available</t>
  </si>
  <si>
    <t xml:space="preserve">AWS-backed infrastructure</t>
  </si>
  <si>
    <t xml:space="preserve">AWS-backed. More stable than self-hosted. Batch inference available. Source: together.ai</t>
  </si>
  <si>
    <t xml:space="preserve">Self-hosted (any open weights)</t>
  </si>
  <si>
    <t xml:space="preserve">100% your SLA</t>
  </si>
  <si>
    <t xml:space="preserve">You own it</t>
  </si>
  <si>
    <t xml:space="preserve">Unlimited (your GPU)</t>
  </si>
  <si>
    <t xml:space="preserve">Depends on hardware</t>
  </si>
  <si>
    <t xml:space="preserve">Depends on your infra setup</t>
  </si>
  <si>
    <t xml:space="preserve">Zero — you control everything</t>
  </si>
  <si>
    <t xml:space="preserve">Full data sovereignty. Requires GPU infra, MLOps team, ongoing ops. Source: general knowledge</t>
  </si>
  <si>
    <t xml:space="preserve">Monthly Cost Estimator — Adjust yellow cells to your usage</t>
  </si>
  <si>
    <t xml:space="preserve">INPUTS (change yellow cells)</t>
  </si>
  <si>
    <t xml:space="preserve">Monthly requests (total)</t>
  </si>
  <si>
    <t xml:space="preserve">requests/month</t>
  </si>
  <si>
    <t xml:space="preserve">Avg input tokens per request</t>
  </si>
  <si>
    <t xml:space="preserve">tokens</t>
  </si>
  <si>
    <t xml:space="preserve">Avg output tokens per request</t>
  </si>
  <si>
    <t xml:space="preserve">% of input that is cached (schema repeats)</t>
  </si>
  <si>
    <t xml:space="preserve">60% = 0.6 means 60% hits cache</t>
  </si>
  <si>
    <t xml:space="preserve">MODEL</t>
  </si>
  <si>
    <t xml:space="preserve">Cached $/MTok</t>
  </si>
  <si>
    <t xml:space="preserve">Est. Monthly Cost</t>
  </si>
  <si>
    <t xml:space="preserve">With 50% Batch Discount</t>
  </si>
  <si>
    <t xml:space="preserve">Notes</t>
  </si>
  <si>
    <t xml:space="preserve">GPT-4.1 Nano (OpenAI)</t>
  </si>
  <si>
    <t xml:space="preserve">Cheapest OpenAI. Good for routing/classification.</t>
  </si>
  <si>
    <t xml:space="preserve">Gemini 2.5 Flash-Lite (Google)</t>
  </si>
  <si>
    <t xml:space="preserve">Cheapest Google. Flat 1M context.</t>
  </si>
  <si>
    <t xml:space="preserve">Gemini 2.5 Flash (Google)</t>
  </si>
  <si>
    <t xml:space="preserve">★ Runner-up. Best value reliable model.</t>
  </si>
  <si>
    <t xml:space="preserve">GPT-4.1 Mini (OpenAI)</t>
  </si>
  <si>
    <t xml:space="preserve">★ Top pick. Best overall balance.</t>
  </si>
  <si>
    <t xml:space="preserve">EU only. No caching discount.</t>
  </si>
  <si>
    <t xml:space="preserve">Gemini 2.5 Pro (Google)</t>
  </si>
  <si>
    <t xml:space="preserve">≤200K context. Doubles above 200K.</t>
  </si>
  <si>
    <t xml:space="preserve">GPT-4.1 Full (OpenAI)</t>
  </si>
  <si>
    <t xml:space="preserve">Full model. Use only if Mini insufficient.</t>
  </si>
  <si>
    <t xml:space="preserve">DeepSeek V4 Flash ⚠ direct</t>
  </si>
  <si>
    <t xml:space="preserve">⚠ China data risk. Not for business use.</t>
  </si>
  <si>
    <t xml:space="preserve">Groq Llama 4 70B</t>
  </si>
  <si>
    <t xml:space="preserve">No caching. 128K context limit.</t>
  </si>
  <si>
    <t xml:space="preserve">LLM Selection Verdict — Advanced Query Gen, Schema→Query, Answer Synthesis</t>
  </si>
  <si>
    <t xml:space="preserve">Provider / Model</t>
  </si>
  <si>
    <t xml:space="preserve">Cost Rating</t>
  </si>
  <si>
    <t xml:space="preserve">Security Rating</t>
  </si>
  <si>
    <t xml:space="preserve">Reliability Rating</t>
  </si>
  <si>
    <t xml:space="preserve">Query Gen Quality</t>
  </si>
  <si>
    <t xml:space="preserve">Overall Score</t>
  </si>
  <si>
    <t xml:space="preserve">Verdict</t>
  </si>
  <si>
    <t xml:space="preserve">Decision</t>
  </si>
  <si>
    <t xml:space="preserve">★★★★ ($$)</t>
  </si>
  <si>
    <t xml:space="preserve">★★★★★</t>
  </si>
  <si>
    <t xml:space="preserve">★★★★★ (99.9% SLA)</t>
  </si>
  <si>
    <t xml:space="preserve">Best overall pick for the use case. 1M context, strong SQL/structured output, 99.9% SLA, US servers, no training on API data, prompt caching available. Start here.</t>
  </si>
  <si>
    <t xml:space="preserve">✅ PRIMARY CHOICE</t>
  </si>
  <si>
    <t xml:space="preserve">Gemini 2.5 Flash (Vertex AI)</t>
  </si>
  <si>
    <t xml:space="preserve">★★★★★ ($)</t>
  </si>
  <si>
    <t xml:space="preserve">★★★★</t>
  </si>
  <si>
    <t xml:space="preserve">Cheapest reliable option with flat 1M context pricing. GCP compliance stack. Slightly weaker on complex multi-table reasoning but handles most query generation well. Use as backup or cost-reducer.</t>
  </si>
  <si>
    <t xml:space="preserve">✅ RUNNER-UP / BACKUP</t>
  </si>
  <si>
    <t xml:space="preserve">★★★ (simple tasks)</t>
  </si>
  <si>
    <t xml:space="preserve">Use as cheap routing layer — simple schema lookups, query classification. Route complex queries up to Mini. Saves 75% vs Mini on those tasks.</t>
  </si>
  <si>
    <t xml:space="preserve">✅ USE AS ROUTING LAYER</t>
  </si>
  <si>
    <t xml:space="preserve">Equivalent role to GPT-4.1 Nano — ultra-cheap routing layer. Good if already on Google stack.</t>
  </si>
  <si>
    <t xml:space="preserve">★★★★★ (EU)</t>
  </si>
  <si>
    <t xml:space="preserve">★★★ (no formal SLA)</t>
  </si>
  <si>
    <t xml:space="preserve">Only viable if EU data residency is a hard legal requirement. No caching = costs more at scale. Weaker on complex reasoning vs GPT-4.1.</t>
  </si>
  <si>
    <t xml:space="preserve">🔶 EU REQUIREMENT ONLY</t>
  </si>
  <si>
    <t xml:space="preserve">★★★</t>
  </si>
  <si>
    <t xml:space="preserve">EU data residency, ultra-cheap. Limited context (128K) and reasoning. Use only for simple tasks with EU residency requirement.</t>
  </si>
  <si>
    <t xml:space="preserve">🔶 EU + SIMPLE TASKS ONLY</t>
  </si>
  <si>
    <t xml:space="preserve">Gemini 2.5 Pro (Vertex AI)</t>
  </si>
  <si>
    <t xml:space="preserve">★★★ ($$$)</t>
  </si>
  <si>
    <t xml:space="preserve">Strong reasoner but pricing doubles above 200K context. Overkill for most query generation tasks. Use only if reasoning quality of Flash is insufficient.</t>
  </si>
  <si>
    <t xml:space="preserve">⚪ UPGRADE IF NEEDED</t>
  </si>
  <si>
    <t xml:space="preserve">Same as above — overkill for most cases. GPT-4.1 Mini handles 90%+ of query gen tasks.</t>
  </si>
  <si>
    <t xml:space="preserve">Groq / Llama 4 70B</t>
  </si>
  <si>
    <t xml:space="preserve">★★★★ (SOC2)</t>
  </si>
  <si>
    <t xml:space="preserve">★★★ (~99%, no SLA)</t>
  </si>
  <si>
    <t xml:space="preserve">Use ONLY if sub-100ms response time is critical. 128K context limit constrains large schema+data payloads. No HIPAA BAA.</t>
  </si>
  <si>
    <t xml:space="preserve">🔶 LATENCY-CRITICAL ONLY</t>
  </si>
  <si>
    <t xml:space="preserve">Together AI (US-hosted DeepSeek)</t>
  </si>
  <si>
    <t xml:space="preserve">★★★★ (US servers)</t>
  </si>
  <si>
    <t xml:space="preserve">★★★ (no SLA)</t>
  </si>
  <si>
    <t xml:space="preserve">DeepSeek weights hosted on US servers — fixes China data problem. Good budget fallback. No SLA.</t>
  </si>
  <si>
    <t xml:space="preserve">🔶 BUDGET FALLBACK</t>
  </si>
  <si>
    <t xml:space="preserve">★★★ (+ 5.5% fee)</t>
  </si>
  <si>
    <t xml:space="preserve">★★ (varies)</t>
  </si>
  <si>
    <t xml:space="preserve">★★ (no SLA)</t>
  </si>
  <si>
    <t xml:space="preserve">★★</t>
  </si>
  <si>
    <t xml:space="preserve">Excellent for prototyping. Not production-ready. No SLA, 3 outages in 8 months, 5.5% markup.</t>
  </si>
  <si>
    <t xml:space="preserve">❌ PROTOTYPING ONLY</t>
  </si>
  <si>
    <t xml:space="preserve">DeepSeek V4 Flash (direct API)</t>
  </si>
  <si>
    <t xml:space="preserve">★★★★★ (cheapest)</t>
  </si>
  <si>
    <t xml:space="preserve">★ (China data ⚠)</t>
  </si>
  <si>
    <t xml:space="preserve">Pricing is excellent but data goes to China. Banned by multiple governments. China law allows forced govt access. Do not use for business data.</t>
  </si>
  <si>
    <t xml:space="preserve">❌ AVOID — CHINA DATA RISK</t>
  </si>
  <si>
    <t xml:space="preserve">Sources &amp; References — All Data Verified May 2026</t>
  </si>
  <si>
    <t xml:space="preserve">#</t>
  </si>
  <si>
    <t xml:space="preserve">Source / Organization</t>
  </si>
  <si>
    <t xml:space="preserve">Topic Covered</t>
  </si>
  <si>
    <t xml:space="preserve">URL / Reference</t>
  </si>
  <si>
    <t xml:space="preserve">1</t>
  </si>
  <si>
    <t xml:space="preserve">OpenAI (official)</t>
  </si>
  <si>
    <t xml:space="preserve">GPT-4.1 family pricing, context windows, batch, caching</t>
  </si>
  <si>
    <t xml:space="preserve">openai.com/api/pricing</t>
  </si>
  <si>
    <t xml:space="preserve">2</t>
  </si>
  <si>
    <t xml:space="preserve">Scale Tier — 99.9% SLA, priority compute</t>
  </si>
  <si>
    <t xml:space="preserve">openai.com/api-scale-tier</t>
  </si>
  <si>
    <t xml:space="preserve">3</t>
  </si>
  <si>
    <t xml:space="preserve">Enterprise privacy, no-training policy</t>
  </si>
  <si>
    <t xml:space="preserve">openai.com/enterprise-privacy</t>
  </si>
  <si>
    <t xml:space="preserve">4</t>
  </si>
  <si>
    <t xml:space="preserve">Google / Vertex AI (official)</t>
  </si>
  <si>
    <t xml:space="preserve">Gemini 2.5 Pro, Flash, Flash-Lite pricing</t>
  </si>
  <si>
    <t xml:space="preserve">ai.google.dev/pricing</t>
  </si>
  <si>
    <t xml:space="preserve">5</t>
  </si>
  <si>
    <t xml:space="preserve">Google Cloud (official)</t>
  </si>
  <si>
    <t xml:space="preserve">Vertex AI data governance, HIPAA, SOC2</t>
  </si>
  <si>
    <t xml:space="preserve">cloud.google.com/vertex-ai/docs/general/data-governance</t>
  </si>
  <si>
    <t xml:space="preserve">6</t>
  </si>
  <si>
    <t xml:space="preserve">Microsoft Azure (official)</t>
  </si>
  <si>
    <t xml:space="preserve">Azure OpenAI SLA, PTU, compliance</t>
  </si>
  <si>
    <t xml:space="preserve">azure.microsoft.com/sla / azure.microsoft.com/compliance</t>
  </si>
  <si>
    <t xml:space="preserve">7</t>
  </si>
  <si>
    <t xml:space="preserve">Mistral AI (official)</t>
  </si>
  <si>
    <t xml:space="preserve">Mistral pricing — Small, Large models</t>
  </si>
  <si>
    <t xml:space="preserve">mistral.ai/pricing</t>
  </si>
  <si>
    <t xml:space="preserve">8</t>
  </si>
  <si>
    <t xml:space="preserve">Terms, data residency, GDPR</t>
  </si>
  <si>
    <t xml:space="preserve">mistral.ai/terms</t>
  </si>
  <si>
    <t xml:space="preserve">9</t>
  </si>
  <si>
    <t xml:space="preserve">DeepSeek (official)</t>
  </si>
  <si>
    <t xml:space="preserve">V4 Flash, V4 Pro API pricing, cache pricing</t>
  </si>
  <si>
    <t xml:space="preserve">api-docs.deepseek.com/quick_start/pricing</t>
  </si>
  <si>
    <t xml:space="preserve">10</t>
  </si>
  <si>
    <t xml:space="preserve">Groq (official)</t>
  </si>
  <si>
    <t xml:space="preserve">Llama 4 pricing, LPU throughput</t>
  </si>
  <si>
    <t xml:space="preserve">groq.com/pricing</t>
  </si>
  <si>
    <t xml:space="preserve">11</t>
  </si>
  <si>
    <t xml:space="preserve">Together AI (official)</t>
  </si>
  <si>
    <t xml:space="preserve">US-hosted open-weight model pricing</t>
  </si>
  <si>
    <t xml:space="preserve">together.ai/pricing</t>
  </si>
  <si>
    <t xml:space="preserve">12</t>
  </si>
  <si>
    <t xml:space="preserve">OpenRouter (official)</t>
  </si>
  <si>
    <t xml:space="preserve">Gateway pricing, model catalog, 5.5% fee</t>
  </si>
  <si>
    <t xml:space="preserve">openrouter.ai/pricing</t>
  </si>
  <si>
    <t xml:space="preserve">13</t>
  </si>
  <si>
    <t xml:space="preserve">IAPP (Feb 4, 2026)</t>
  </si>
  <si>
    <t xml:space="preserve">DeepSeek regulatory reactions — EU DPAs, GDPR violations</t>
  </si>
  <si>
    <t xml:space="preserve">iapp.org/news/a/deepseek-and-the-china-data-question</t>
  </si>
  <si>
    <t xml:space="preserve">14</t>
  </si>
  <si>
    <t xml:space="preserve">SecurityScorecard STRIKE Team</t>
  </si>
  <si>
    <t xml:space="preserve">DeepSeek security vulnerabilities — plaintext credentials, ByteDance code, China data flow</t>
  </si>
  <si>
    <t xml:space="preserve">securityscorecard.com/blog/deepseek-security-issues</t>
  </si>
  <si>
    <t xml:space="preserve">15</t>
  </si>
  <si>
    <t xml:space="preserve">Feroot Security</t>
  </si>
  <si>
    <t xml:space="preserve">Hidden DeepSeek code sending user data to China Mobile (CMPassport.com)</t>
  </si>
  <si>
    <t xml:space="preserve">feroot.com/news/deepseek-hidden-code</t>
  </si>
  <si>
    <t xml:space="preserve">16</t>
  </si>
  <si>
    <t xml:space="preserve">The Hill (Feb 2025)</t>
  </si>
  <si>
    <t xml:space="preserve">DeepSeek national security concerns — Chinese govt data access risk</t>
  </si>
  <si>
    <t xml:space="preserve">thehill.com/policy/technology/5126075-deepseek-privacy</t>
  </si>
  <si>
    <t xml:space="preserve">17</t>
  </si>
  <si>
    <t xml:space="preserve">Axis Intelligence (Mar 2026)</t>
  </si>
  <si>
    <t xml:space="preserve">DeepSeek safety assessment — bans, jailbreak scores</t>
  </si>
  <si>
    <t xml:space="preserve">axis-intelligence.com/is-deepseek-safe-2026</t>
  </si>
  <si>
    <t xml:space="preserve">18</t>
  </si>
  <si>
    <t xml:space="preserve">TokenMix (Apr 2026)</t>
  </si>
  <si>
    <t xml:space="preserve">OpenRouter reliability — 3 outages in 8 months, no SLA</t>
  </si>
  <si>
    <t xml:space="preserve">tokenmix.ai/blog/is-openrouter-reliable-uptime-rate-limits-2026</t>
  </si>
  <si>
    <t xml:space="preserve">19</t>
  </si>
  <si>
    <t xml:space="preserve">FelloAI (May 2026)</t>
  </si>
  <si>
    <t xml:space="preserve">DeepSeek V4 Flash, V4 Pro full pricing breakdown</t>
  </si>
  <si>
    <t xml:space="preserve">felloai.com/deepseek-pricing</t>
  </si>
  <si>
    <t xml:space="preserve">20</t>
  </si>
  <si>
    <t xml:space="preserve">PE Collective (Apr 2026)</t>
  </si>
  <si>
    <t xml:space="preserve">OpenAI API pricing comparison — GPT-4.1 family</t>
  </si>
  <si>
    <t xml:space="preserve">pecollective.com/tools/openai-api-pricing</t>
  </si>
  <si>
    <t xml:space="preserve">21</t>
  </si>
  <si>
    <t xml:space="preserve">FutureAGI (2026)</t>
  </si>
  <si>
    <t xml:space="preserve">LLM API provider comparison — 11 providers</t>
  </si>
  <si>
    <t xml:space="preserve">futureagi.com/blog/top-11-llm-api-providers-2025</t>
  </si>
  <si>
    <t xml:space="preserve">22</t>
  </si>
  <si>
    <t xml:space="preserve">MetaCTO (May 2026)</t>
  </si>
  <si>
    <t xml:space="preserve">Claude API pricing breakdown — Sonnet, Haiku</t>
  </si>
  <si>
    <t xml:space="preserve">metacto.com/blogs/anthropic-api-pricing</t>
  </si>
  <si>
    <t xml:space="preserve">23</t>
  </si>
  <si>
    <t xml:space="preserve">Marka Development (May 2026)</t>
  </si>
  <si>
    <t xml:space="preserve">Self-hosted LLM vs API — enterprise cost/security tradeoffs</t>
  </si>
  <si>
    <t xml:space="preserve">marka-development.com/news/self-hosted-llm-vs-api</t>
  </si>
  <si>
    <t xml:space="preserve">24</t>
  </si>
  <si>
    <t xml:space="preserve">TrueFoundry (2026)</t>
  </si>
  <si>
    <t xml:space="preserve">LLM deployment in regulated industries — HIPAA, SOC2, GDPR playbook</t>
  </si>
  <si>
    <t xml:space="preserve">truefoundry.com/blog/llm-deployment-in-regulated-industries</t>
  </si>
  <si>
    <t xml:space="preserve">25</t>
  </si>
  <si>
    <t xml:space="preserve">DevTk.AI (May 2026)</t>
  </si>
  <si>
    <t xml:space="preserve">DeepSeek V4 Flash and Pro pricing details, cache mechanics</t>
  </si>
  <si>
    <t xml:space="preserve">devtk.ai/en/blog/deepseek-api-pricing-guide-2026</t>
  </si>
  <si>
    <t xml:space="preserve">26</t>
  </si>
  <si>
    <t xml:space="preserve">AI Pricing Guru (May 21 2026)</t>
  </si>
  <si>
    <t xml:space="preserve">Mistral AI pricing — all models, last synced 2026-05-20</t>
  </si>
  <si>
    <t xml:space="preserve">aipricing.guru/mistral-pricing</t>
  </si>
  <si>
    <t xml:space="preserve">27</t>
  </si>
  <si>
    <t xml:space="preserve">Finout (2026)</t>
  </si>
  <si>
    <t xml:space="preserve">Anthropic / Claude API pricing full breakdown</t>
  </si>
  <si>
    <t xml:space="preserve">finout.io/blog/anthropic-api-pricing</t>
  </si>
  <si>
    <t xml:space="preserve">28</t>
  </si>
  <si>
    <t xml:space="preserve">CostGoat (May 2026)</t>
  </si>
  <si>
    <t xml:space="preserve">OpenRouter model catalog, pricing, rate limits</t>
  </si>
  <si>
    <t xml:space="preserve">costgoat.com/pricing/openrouter</t>
  </si>
  <si>
    <t xml:space="preserve">29</t>
  </si>
  <si>
    <t xml:space="preserve">Syncfusion Blog (Apr 2026)</t>
  </si>
  <si>
    <t xml:space="preserve">Best LLM APIs 2026 — all provider comparison</t>
  </si>
  <si>
    <t xml:space="preserve">syncfusion.com/blogs/post/top-llm-api-comparison-2026</t>
  </si>
  <si>
    <t xml:space="preserve">30</t>
  </si>
  <si>
    <t xml:space="preserve">MorphLLM (Mar 2026)</t>
  </si>
  <si>
    <t xml:space="preserve">LLM API comparison — 11 providers, throughput benchmarks</t>
  </si>
  <si>
    <t xml:space="preserve">morphllm.com/llm-api</t>
  </si>
</sst>
</file>

<file path=xl/styles.xml><?xml version="1.0" encoding="utf-8"?>
<styleSheet xmlns="http://schemas.openxmlformats.org/spreadsheetml/2006/main">
  <numFmts count="2">
    <numFmt numFmtId="164" formatCode="General"/>
    <numFmt numFmtId="165" formatCode="\$#,##0.00"/>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sz val="9"/>
      <color rgb="FF555555"/>
      <name val="Arial"/>
      <family val="0"/>
      <charset val="1"/>
    </font>
    <font>
      <b val="true"/>
      <sz val="10"/>
      <color rgb="FFA32D2D"/>
      <name val="Arial"/>
      <family val="0"/>
      <charset val="1"/>
    </font>
    <font>
      <b val="true"/>
      <sz val="13"/>
      <color rgb="FFFFFFFF"/>
      <name val="Arial"/>
      <family val="0"/>
      <charset val="1"/>
    </font>
    <font>
      <b val="true"/>
      <sz val="11"/>
      <color rgb="FF0000FF"/>
      <name val="Arial"/>
      <family val="0"/>
      <charset val="1"/>
    </font>
    <font>
      <sz val="9"/>
      <color rgb="FF666666"/>
      <name val="Arial"/>
      <family val="0"/>
      <charset val="1"/>
    </font>
    <font>
      <b val="true"/>
      <sz val="10"/>
      <color rgb="FFFFFFFF"/>
      <name val="Arial"/>
      <family val="0"/>
      <charset val="1"/>
    </font>
    <font>
      <b val="true"/>
      <sz val="11"/>
      <name val="Arial"/>
      <family val="0"/>
      <charset val="1"/>
    </font>
    <font>
      <sz val="10"/>
      <name val="Arial"/>
      <family val="0"/>
      <charset val="1"/>
    </font>
    <font>
      <sz val="9"/>
      <color rgb="FF000000"/>
      <name val="Arial"/>
      <family val="0"/>
      <charset val="1"/>
    </font>
  </fonts>
  <fills count="11">
    <fill>
      <patternFill patternType="none"/>
    </fill>
    <fill>
      <patternFill patternType="gray125"/>
    </fill>
    <fill>
      <patternFill patternType="solid">
        <fgColor rgb="FF1F4E79"/>
        <bgColor rgb="FF003366"/>
      </patternFill>
    </fill>
    <fill>
      <patternFill patternType="solid">
        <fgColor rgb="FFE2EFDA"/>
        <bgColor rgb="FFD9EAD3"/>
      </patternFill>
    </fill>
    <fill>
      <patternFill patternType="solid">
        <fgColor rgb="FFF2F2F2"/>
        <bgColor rgb="FFE2EFDA"/>
      </patternFill>
    </fill>
    <fill>
      <patternFill patternType="solid">
        <fgColor rgb="FFD9EAD3"/>
        <bgColor rgb="FFE2EFDA"/>
      </patternFill>
    </fill>
    <fill>
      <patternFill patternType="solid">
        <fgColor rgb="FFFFE0E0"/>
        <bgColor rgb="FFFFF2CC"/>
      </patternFill>
    </fill>
    <fill>
      <patternFill patternType="solid">
        <fgColor rgb="FFFFF2CC"/>
        <bgColor rgb="FFF2F2F2"/>
      </patternFill>
    </fill>
    <fill>
      <patternFill patternType="solid">
        <fgColor rgb="FF2E75B6"/>
        <bgColor rgb="FF0066CC"/>
      </patternFill>
    </fill>
    <fill>
      <patternFill patternType="solid">
        <fgColor rgb="FFFFFF00"/>
        <bgColor rgb="FFFFFF00"/>
      </patternFill>
    </fill>
    <fill>
      <patternFill patternType="solid">
        <fgColor rgb="FFFFFFFF"/>
        <bgColor rgb="FFF2F2F2"/>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true" indent="0" shrinkToFit="false"/>
      <protection locked="true" hidden="false"/>
    </xf>
    <xf numFmtId="164" fontId="9" fillId="6" borderId="2" xfId="0" applyFont="true" applyBorder="true" applyAlignment="true" applyProtection="false">
      <alignment horizontal="left"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5" fillId="8" borderId="1" xfId="0" applyFont="true" applyBorder="true" applyAlignment="true" applyProtection="false">
      <alignment horizontal="left"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5" fontId="14" fillId="3" borderId="1" xfId="0" applyFont="true" applyBorder="true" applyAlignment="true" applyProtection="false">
      <alignment horizontal="center" vertical="center" textRotation="0" wrapText="false" indent="0" shrinkToFit="false"/>
      <protection locked="true" hidden="false"/>
    </xf>
    <xf numFmtId="165" fontId="15" fillId="3" borderId="1" xfId="0" applyFont="true" applyBorder="true" applyAlignment="true" applyProtection="false">
      <alignment horizontal="center" vertical="center" textRotation="0" wrapText="false" indent="0" shrinkToFit="false"/>
      <protection locked="true" hidden="false"/>
    </xf>
    <xf numFmtId="164" fontId="16" fillId="3"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5" fontId="14" fillId="5" borderId="1" xfId="0" applyFont="true" applyBorder="true" applyAlignment="true" applyProtection="false">
      <alignment horizontal="center" vertical="center" textRotation="0" wrapText="false" indent="0" shrinkToFit="false"/>
      <protection locked="true" hidden="false"/>
    </xf>
    <xf numFmtId="165" fontId="15" fillId="5" borderId="1" xfId="0" applyFont="true" applyBorder="true" applyAlignment="true" applyProtection="false">
      <alignment horizontal="center" vertical="center" textRotation="0" wrapText="fals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5" fontId="14" fillId="4" borderId="1" xfId="0" applyFont="true" applyBorder="true" applyAlignment="true" applyProtection="false">
      <alignment horizontal="center" vertical="center" textRotation="0" wrapText="false" indent="0" shrinkToFit="false"/>
      <protection locked="true" hidden="false"/>
    </xf>
    <xf numFmtId="165" fontId="15" fillId="4" borderId="1" xfId="0" applyFont="true" applyBorder="true" applyAlignment="true" applyProtection="false">
      <alignment horizontal="center" vertical="center" textRotation="0" wrapText="false" indent="0" shrinkToFit="false"/>
      <protection locked="true" hidden="false"/>
    </xf>
    <xf numFmtId="164" fontId="16" fillId="4"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5" fontId="14" fillId="6" borderId="1" xfId="0" applyFont="true" applyBorder="true" applyAlignment="true" applyProtection="false">
      <alignment horizontal="center" vertical="center" textRotation="0" wrapText="false" indent="0" shrinkToFit="false"/>
      <protection locked="true" hidden="false"/>
    </xf>
    <xf numFmtId="165" fontId="15" fillId="6" borderId="1" xfId="0" applyFont="true" applyBorder="true" applyAlignment="true" applyProtection="false">
      <alignment horizontal="center" vertical="center" textRotation="0" wrapText="false" indent="0" shrinkToFit="false"/>
      <protection locked="true" hidden="false"/>
    </xf>
    <xf numFmtId="164" fontId="16" fillId="6" borderId="1" xfId="0" applyFont="true" applyBorder="true" applyAlignment="true" applyProtection="false">
      <alignment horizontal="left" vertical="center" textRotation="0" wrapText="true" indent="0" shrinkToFit="false"/>
      <protection locked="true" hidden="false"/>
    </xf>
    <xf numFmtId="164" fontId="6" fillId="10"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E2EFD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D9EAD3"/>
      <rgbColor rgb="FFFFFF99"/>
      <rgbColor rgb="FF99CCFF"/>
      <rgbColor rgb="FFFF99CC"/>
      <rgbColor rgb="FFCC99FF"/>
      <rgbColor rgb="FFFFE0E0"/>
      <rgbColor rgb="FF2E75B6"/>
      <rgbColor rgb="FF33CCCC"/>
      <rgbColor rgb="FF99CC00"/>
      <rgbColor rgb="FFFFCC00"/>
      <rgbColor rgb="FFFF9900"/>
      <rgbColor rgb="FFFF6600"/>
      <rgbColor rgb="FF666666"/>
      <rgbColor rgb="FF969696"/>
      <rgbColor rgb="FF003366"/>
      <rgbColor rgb="FF339966"/>
      <rgbColor rgb="FF003300"/>
      <rgbColor rgb="FF333300"/>
      <rgbColor rgb="FFA32D2D"/>
      <rgbColor rgb="FF993366"/>
      <rgbColor rgb="FF1F4E7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4" min="3" style="0" width="15"/>
    <col collapsed="false" customWidth="true" hidden="false" outlineLevel="0" max="5" min="5" style="0" width="20"/>
    <col collapsed="false" customWidth="true" hidden="false" outlineLevel="0" max="6" min="6" style="0" width="18"/>
    <col collapsed="false" customWidth="true" hidden="false" outlineLevel="0" max="8" min="7" style="0" width="14"/>
    <col collapsed="false" customWidth="true" hidden="false" outlineLevel="0" max="9" min="9" style="0" width="28"/>
    <col collapsed="false" customWidth="true" hidden="false" outlineLevel="0" max="10" min="10" style="0" width="55"/>
  </cols>
  <sheetData>
    <row r="1" customFormat="false" ht="30" hidden="false" customHeight="true" outlineLevel="0" collapsed="false">
      <c r="A1" s="1" t="s">
        <v>0</v>
      </c>
      <c r="B1" s="1"/>
      <c r="C1" s="1"/>
      <c r="D1" s="1"/>
      <c r="E1" s="1"/>
      <c r="F1" s="1"/>
      <c r="G1" s="1"/>
      <c r="H1" s="1"/>
      <c r="I1" s="1"/>
      <c r="J1" s="1"/>
    </row>
    <row r="2" customFormat="false" ht="27.75" hidden="false" customHeight="true" outlineLevel="0" collapsed="false">
      <c r="A2" s="2" t="s">
        <v>1</v>
      </c>
      <c r="B2" s="2" t="s">
        <v>2</v>
      </c>
      <c r="C2" s="2" t="s">
        <v>3</v>
      </c>
      <c r="D2" s="2" t="s">
        <v>4</v>
      </c>
      <c r="E2" s="2" t="s">
        <v>5</v>
      </c>
      <c r="F2" s="2" t="s">
        <v>6</v>
      </c>
      <c r="G2" s="2" t="s">
        <v>7</v>
      </c>
      <c r="H2" s="2" t="s">
        <v>8</v>
      </c>
      <c r="I2" s="2" t="s">
        <v>9</v>
      </c>
      <c r="J2" s="2" t="s">
        <v>10</v>
      </c>
    </row>
    <row r="3" customFormat="false" ht="42" hidden="false" customHeight="true" outlineLevel="0" collapsed="false">
      <c r="A3" s="3" t="s">
        <v>11</v>
      </c>
      <c r="B3" s="4" t="s">
        <v>12</v>
      </c>
      <c r="C3" s="4" t="s">
        <v>13</v>
      </c>
      <c r="D3" s="4" t="s">
        <v>14</v>
      </c>
      <c r="E3" s="4" t="s">
        <v>15</v>
      </c>
      <c r="F3" s="4" t="s">
        <v>16</v>
      </c>
      <c r="G3" s="4" t="s">
        <v>17</v>
      </c>
      <c r="H3" s="4" t="s">
        <v>18</v>
      </c>
      <c r="I3" s="4" t="s">
        <v>19</v>
      </c>
      <c r="J3" s="4" t="s">
        <v>20</v>
      </c>
    </row>
    <row r="4" customFormat="false" ht="42" hidden="false" customHeight="true" outlineLevel="0" collapsed="false">
      <c r="A4" s="5" t="s">
        <v>11</v>
      </c>
      <c r="B4" s="6" t="s">
        <v>21</v>
      </c>
      <c r="C4" s="6" t="s">
        <v>22</v>
      </c>
      <c r="D4" s="6" t="s">
        <v>13</v>
      </c>
      <c r="E4" s="6" t="s">
        <v>23</v>
      </c>
      <c r="F4" s="6" t="s">
        <v>16</v>
      </c>
      <c r="G4" s="6" t="s">
        <v>17</v>
      </c>
      <c r="H4" s="6" t="s">
        <v>18</v>
      </c>
      <c r="I4" s="6" t="s">
        <v>24</v>
      </c>
      <c r="J4" s="6" t="s">
        <v>25</v>
      </c>
    </row>
    <row r="5" customFormat="false" ht="42" hidden="false" customHeight="true" outlineLevel="0" collapsed="false">
      <c r="A5" s="5" t="s">
        <v>11</v>
      </c>
      <c r="B5" s="6" t="s">
        <v>26</v>
      </c>
      <c r="C5" s="6" t="s">
        <v>27</v>
      </c>
      <c r="D5" s="6" t="s">
        <v>28</v>
      </c>
      <c r="E5" s="6" t="s">
        <v>29</v>
      </c>
      <c r="F5" s="6" t="s">
        <v>16</v>
      </c>
      <c r="G5" s="6" t="s">
        <v>17</v>
      </c>
      <c r="H5" s="6" t="s">
        <v>18</v>
      </c>
      <c r="I5" s="6" t="s">
        <v>30</v>
      </c>
      <c r="J5" s="6" t="s">
        <v>31</v>
      </c>
    </row>
    <row r="6" customFormat="false" ht="42" hidden="false" customHeight="true" outlineLevel="0" collapsed="false">
      <c r="A6" s="5" t="s">
        <v>11</v>
      </c>
      <c r="B6" s="6" t="s">
        <v>32</v>
      </c>
      <c r="C6" s="6" t="s">
        <v>33</v>
      </c>
      <c r="D6" s="6" t="s">
        <v>34</v>
      </c>
      <c r="E6" s="6" t="s">
        <v>35</v>
      </c>
      <c r="F6" s="6" t="s">
        <v>36</v>
      </c>
      <c r="G6" s="6" t="s">
        <v>17</v>
      </c>
      <c r="H6" s="6" t="s">
        <v>18</v>
      </c>
      <c r="I6" s="6" t="s">
        <v>37</v>
      </c>
      <c r="J6" s="6" t="s">
        <v>38</v>
      </c>
    </row>
    <row r="7" customFormat="false" ht="42" hidden="false" customHeight="true" outlineLevel="0" collapsed="false">
      <c r="A7" s="3" t="s">
        <v>39</v>
      </c>
      <c r="B7" s="4" t="s">
        <v>40</v>
      </c>
      <c r="C7" s="4" t="s">
        <v>41</v>
      </c>
      <c r="D7" s="4" t="s">
        <v>33</v>
      </c>
      <c r="E7" s="4" t="s">
        <v>42</v>
      </c>
      <c r="F7" s="4" t="s">
        <v>16</v>
      </c>
      <c r="G7" s="4" t="s">
        <v>17</v>
      </c>
      <c r="H7" s="4" t="s">
        <v>43</v>
      </c>
      <c r="I7" s="4" t="s">
        <v>44</v>
      </c>
      <c r="J7" s="4" t="s">
        <v>45</v>
      </c>
    </row>
    <row r="8" customFormat="false" ht="42" hidden="false" customHeight="true" outlineLevel="0" collapsed="false">
      <c r="A8" s="5" t="s">
        <v>39</v>
      </c>
      <c r="B8" s="6" t="s">
        <v>46</v>
      </c>
      <c r="C8" s="6" t="s">
        <v>22</v>
      </c>
      <c r="D8" s="6" t="s">
        <v>13</v>
      </c>
      <c r="E8" s="6" t="s">
        <v>23</v>
      </c>
      <c r="F8" s="6" t="s">
        <v>16</v>
      </c>
      <c r="G8" s="6" t="s">
        <v>17</v>
      </c>
      <c r="H8" s="6" t="s">
        <v>47</v>
      </c>
      <c r="I8" s="6" t="s">
        <v>48</v>
      </c>
      <c r="J8" s="6" t="s">
        <v>49</v>
      </c>
    </row>
    <row r="9" customFormat="false" ht="42" hidden="false" customHeight="true" outlineLevel="0" collapsed="false">
      <c r="A9" s="5" t="s">
        <v>39</v>
      </c>
      <c r="B9" s="6" t="s">
        <v>50</v>
      </c>
      <c r="C9" s="6" t="s">
        <v>51</v>
      </c>
      <c r="D9" s="6" t="s">
        <v>34</v>
      </c>
      <c r="E9" s="6" t="s">
        <v>52</v>
      </c>
      <c r="F9" s="6" t="s">
        <v>53</v>
      </c>
      <c r="G9" s="6" t="s">
        <v>17</v>
      </c>
      <c r="H9" s="6" t="s">
        <v>54</v>
      </c>
      <c r="I9" s="6" t="s">
        <v>55</v>
      </c>
      <c r="J9" s="6" t="s">
        <v>56</v>
      </c>
    </row>
    <row r="10" customFormat="false" ht="42" hidden="false" customHeight="true" outlineLevel="0" collapsed="false">
      <c r="A10" s="7" t="s">
        <v>57</v>
      </c>
      <c r="B10" s="8" t="s">
        <v>58</v>
      </c>
      <c r="C10" s="8" t="s">
        <v>22</v>
      </c>
      <c r="D10" s="8" t="s">
        <v>41</v>
      </c>
      <c r="E10" s="8" t="s">
        <v>59</v>
      </c>
      <c r="F10" s="8" t="s">
        <v>36</v>
      </c>
      <c r="G10" s="8" t="s">
        <v>18</v>
      </c>
      <c r="H10" s="8" t="s">
        <v>18</v>
      </c>
      <c r="I10" s="8" t="s">
        <v>60</v>
      </c>
      <c r="J10" s="8" t="s">
        <v>61</v>
      </c>
    </row>
    <row r="11" customFormat="false" ht="42" hidden="false" customHeight="true" outlineLevel="0" collapsed="false">
      <c r="A11" s="7" t="s">
        <v>57</v>
      </c>
      <c r="B11" s="8" t="s">
        <v>62</v>
      </c>
      <c r="C11" s="8" t="s">
        <v>27</v>
      </c>
      <c r="D11" s="8" t="s">
        <v>63</v>
      </c>
      <c r="E11" s="8" t="s">
        <v>59</v>
      </c>
      <c r="F11" s="8" t="s">
        <v>36</v>
      </c>
      <c r="G11" s="8" t="s">
        <v>18</v>
      </c>
      <c r="H11" s="8" t="s">
        <v>18</v>
      </c>
      <c r="I11" s="8" t="s">
        <v>64</v>
      </c>
      <c r="J11" s="8" t="s">
        <v>65</v>
      </c>
    </row>
    <row r="12" customFormat="false" ht="42" hidden="false" customHeight="true" outlineLevel="0" collapsed="false">
      <c r="A12" s="9" t="s">
        <v>66</v>
      </c>
      <c r="B12" s="10" t="s">
        <v>67</v>
      </c>
      <c r="C12" s="10" t="s">
        <v>68</v>
      </c>
      <c r="D12" s="10" t="s">
        <v>69</v>
      </c>
      <c r="E12" s="10" t="s">
        <v>70</v>
      </c>
      <c r="F12" s="10" t="s">
        <v>16</v>
      </c>
      <c r="G12" s="10" t="s">
        <v>71</v>
      </c>
      <c r="H12" s="10" t="s">
        <v>72</v>
      </c>
      <c r="I12" s="10" t="s">
        <v>73</v>
      </c>
      <c r="J12" s="10" t="s">
        <v>74</v>
      </c>
    </row>
    <row r="13" customFormat="false" ht="42" hidden="false" customHeight="true" outlineLevel="0" collapsed="false">
      <c r="A13" s="9" t="s">
        <v>66</v>
      </c>
      <c r="B13" s="10" t="s">
        <v>75</v>
      </c>
      <c r="C13" s="10" t="s">
        <v>76</v>
      </c>
      <c r="D13" s="10" t="s">
        <v>77</v>
      </c>
      <c r="E13" s="10" t="s">
        <v>78</v>
      </c>
      <c r="F13" s="10" t="s">
        <v>16</v>
      </c>
      <c r="G13" s="10" t="s">
        <v>71</v>
      </c>
      <c r="H13" s="10" t="s">
        <v>72</v>
      </c>
      <c r="I13" s="10" t="s">
        <v>79</v>
      </c>
      <c r="J13" s="10" t="s">
        <v>80</v>
      </c>
    </row>
    <row r="14" customFormat="false" ht="42" hidden="false" customHeight="true" outlineLevel="0" collapsed="false">
      <c r="A14" s="9" t="s">
        <v>66</v>
      </c>
      <c r="B14" s="10" t="s">
        <v>81</v>
      </c>
      <c r="C14" s="10" t="s">
        <v>82</v>
      </c>
      <c r="D14" s="10" t="s">
        <v>83</v>
      </c>
      <c r="E14" s="10" t="s">
        <v>84</v>
      </c>
      <c r="F14" s="10" t="s">
        <v>16</v>
      </c>
      <c r="G14" s="10" t="s">
        <v>71</v>
      </c>
      <c r="H14" s="10" t="s">
        <v>72</v>
      </c>
      <c r="I14" s="10" t="s">
        <v>73</v>
      </c>
      <c r="J14" s="10" t="s">
        <v>85</v>
      </c>
    </row>
    <row r="15" customFormat="false" ht="42" hidden="false" customHeight="true" outlineLevel="0" collapsed="false">
      <c r="A15" s="11" t="s">
        <v>86</v>
      </c>
      <c r="B15" s="12" t="s">
        <v>87</v>
      </c>
      <c r="C15" s="12" t="s">
        <v>88</v>
      </c>
      <c r="D15" s="12" t="s">
        <v>88</v>
      </c>
      <c r="E15" s="12" t="s">
        <v>89</v>
      </c>
      <c r="F15" s="12" t="s">
        <v>89</v>
      </c>
      <c r="G15" s="12" t="s">
        <v>71</v>
      </c>
      <c r="H15" s="12" t="s">
        <v>90</v>
      </c>
      <c r="I15" s="12" t="s">
        <v>91</v>
      </c>
      <c r="J15" s="12" t="s">
        <v>92</v>
      </c>
    </row>
    <row r="16" customFormat="false" ht="42" hidden="false" customHeight="true" outlineLevel="0" collapsed="false">
      <c r="A16" s="11" t="s">
        <v>86</v>
      </c>
      <c r="B16" s="12" t="s">
        <v>93</v>
      </c>
      <c r="C16" s="12" t="s">
        <v>94</v>
      </c>
      <c r="D16" s="12" t="s">
        <v>95</v>
      </c>
      <c r="E16" s="12" t="s">
        <v>89</v>
      </c>
      <c r="F16" s="12" t="s">
        <v>96</v>
      </c>
      <c r="G16" s="12" t="s">
        <v>71</v>
      </c>
      <c r="H16" s="12" t="s">
        <v>18</v>
      </c>
      <c r="I16" s="12" t="s">
        <v>97</v>
      </c>
      <c r="J16" s="12" t="s">
        <v>98</v>
      </c>
    </row>
    <row r="17" customFormat="false" ht="42" hidden="false" customHeight="true" outlineLevel="0" collapsed="false">
      <c r="A17" s="5" t="s">
        <v>99</v>
      </c>
      <c r="B17" s="6" t="s">
        <v>100</v>
      </c>
      <c r="C17" s="6" t="s">
        <v>101</v>
      </c>
      <c r="D17" s="6" t="s">
        <v>102</v>
      </c>
      <c r="E17" s="6" t="s">
        <v>71</v>
      </c>
      <c r="F17" s="6" t="s">
        <v>36</v>
      </c>
      <c r="G17" s="6" t="s">
        <v>18</v>
      </c>
      <c r="H17" s="6" t="s">
        <v>43</v>
      </c>
      <c r="I17" s="6" t="s">
        <v>103</v>
      </c>
      <c r="J17" s="6" t="s">
        <v>104</v>
      </c>
    </row>
    <row r="18" customFormat="false" ht="42" hidden="false" customHeight="true" outlineLevel="0" collapsed="false">
      <c r="A18" s="5" t="s">
        <v>99</v>
      </c>
      <c r="B18" s="6" t="s">
        <v>105</v>
      </c>
      <c r="C18" s="6" t="s">
        <v>106</v>
      </c>
      <c r="D18" s="6" t="s">
        <v>107</v>
      </c>
      <c r="E18" s="6" t="s">
        <v>71</v>
      </c>
      <c r="F18" s="6" t="s">
        <v>36</v>
      </c>
      <c r="G18" s="6" t="s">
        <v>18</v>
      </c>
      <c r="H18" s="6" t="s">
        <v>47</v>
      </c>
      <c r="I18" s="6" t="s">
        <v>108</v>
      </c>
      <c r="J18" s="6" t="s">
        <v>109</v>
      </c>
    </row>
    <row r="19" customFormat="false" ht="42" hidden="false" customHeight="true" outlineLevel="0" collapsed="false">
      <c r="A19" s="5" t="s">
        <v>110</v>
      </c>
      <c r="B19" s="6" t="s">
        <v>111</v>
      </c>
      <c r="C19" s="6" t="s">
        <v>112</v>
      </c>
      <c r="D19" s="6" t="s">
        <v>112</v>
      </c>
      <c r="E19" s="6" t="s">
        <v>71</v>
      </c>
      <c r="F19" s="6" t="s">
        <v>36</v>
      </c>
      <c r="G19" s="6" t="s">
        <v>18</v>
      </c>
      <c r="H19" s="6" t="s">
        <v>113</v>
      </c>
      <c r="I19" s="6" t="s">
        <v>114</v>
      </c>
      <c r="J19" s="6" t="s">
        <v>115</v>
      </c>
    </row>
    <row r="20" customFormat="false" ht="42" hidden="false" customHeight="true" outlineLevel="0" collapsed="false">
      <c r="A20" s="5" t="s">
        <v>110</v>
      </c>
      <c r="B20" s="6" t="s">
        <v>116</v>
      </c>
      <c r="C20" s="6" t="s">
        <v>112</v>
      </c>
      <c r="D20" s="6" t="s">
        <v>117</v>
      </c>
      <c r="E20" s="6" t="s">
        <v>71</v>
      </c>
      <c r="F20" s="6" t="s">
        <v>36</v>
      </c>
      <c r="G20" s="6" t="s">
        <v>18</v>
      </c>
      <c r="H20" s="6" t="s">
        <v>113</v>
      </c>
      <c r="I20" s="6" t="s">
        <v>118</v>
      </c>
      <c r="J20" s="6" t="s">
        <v>119</v>
      </c>
    </row>
    <row r="22" customFormat="false" ht="15" hidden="false" customHeight="true" outlineLevel="0" collapsed="false">
      <c r="A22" s="13" t="s">
        <v>120</v>
      </c>
      <c r="B22" s="13"/>
      <c r="C22" s="13"/>
      <c r="D22" s="13"/>
      <c r="E22" s="13"/>
      <c r="F22" s="13"/>
      <c r="G22" s="13"/>
      <c r="H22" s="13"/>
      <c r="I22" s="13"/>
      <c r="J22" s="13"/>
    </row>
  </sheetData>
  <mergeCells count="2">
    <mergeCell ref="A1:J1"/>
    <mergeCell ref="A22:J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20"/>
    <col collapsed="false" customWidth="true" hidden="false" outlineLevel="0" max="4" min="4" style="0" width="10"/>
    <col collapsed="false" customWidth="true" hidden="false" outlineLevel="0" max="5" min="5" style="0" width="18"/>
    <col collapsed="false" customWidth="true" hidden="false" outlineLevel="0" max="6" min="6" style="0" width="14"/>
    <col collapsed="false" customWidth="true" hidden="false" outlineLevel="0" max="7" min="7" style="0" width="12"/>
    <col collapsed="false" customWidth="true" hidden="false" outlineLevel="0" max="8" min="8" style="0" width="10"/>
    <col collapsed="false" customWidth="true" hidden="false" outlineLevel="0" max="10" min="9" style="0" width="22"/>
    <col collapsed="false" customWidth="true" hidden="false" outlineLevel="0" max="11" min="11" style="0" width="55"/>
  </cols>
  <sheetData>
    <row r="1" customFormat="false" ht="30" hidden="false" customHeight="true" outlineLevel="0" collapsed="false">
      <c r="A1" s="1" t="s">
        <v>121</v>
      </c>
      <c r="B1" s="1"/>
      <c r="C1" s="1"/>
      <c r="D1" s="1"/>
      <c r="E1" s="1"/>
      <c r="F1" s="1"/>
      <c r="G1" s="1"/>
      <c r="H1" s="1"/>
      <c r="I1" s="1"/>
      <c r="J1" s="1"/>
      <c r="K1" s="1"/>
    </row>
    <row r="2" customFormat="false" ht="27.75" hidden="false" customHeight="true" outlineLevel="0" collapsed="false">
      <c r="A2" s="2" t="s">
        <v>1</v>
      </c>
      <c r="B2" s="2" t="s">
        <v>122</v>
      </c>
      <c r="C2" s="2" t="s">
        <v>123</v>
      </c>
      <c r="D2" s="2" t="s">
        <v>124</v>
      </c>
      <c r="E2" s="2" t="s">
        <v>125</v>
      </c>
      <c r="F2" s="2" t="s">
        <v>126</v>
      </c>
      <c r="G2" s="2" t="s">
        <v>127</v>
      </c>
      <c r="H2" s="2" t="s">
        <v>128</v>
      </c>
      <c r="I2" s="2" t="s">
        <v>129</v>
      </c>
      <c r="J2" s="2" t="s">
        <v>130</v>
      </c>
      <c r="K2" s="2" t="s">
        <v>131</v>
      </c>
    </row>
    <row r="3" customFormat="false" ht="51.75" hidden="false" customHeight="true" outlineLevel="0" collapsed="false">
      <c r="A3" s="3" t="s">
        <v>132</v>
      </c>
      <c r="B3" s="4" t="s">
        <v>133</v>
      </c>
      <c r="C3" s="4" t="s">
        <v>134</v>
      </c>
      <c r="D3" s="4" t="s">
        <v>135</v>
      </c>
      <c r="E3" s="4" t="s">
        <v>136</v>
      </c>
      <c r="F3" s="4" t="s">
        <v>135</v>
      </c>
      <c r="G3" s="4" t="s">
        <v>18</v>
      </c>
      <c r="H3" s="4" t="s">
        <v>18</v>
      </c>
      <c r="I3" s="4" t="s">
        <v>137</v>
      </c>
      <c r="J3" s="4" t="s">
        <v>138</v>
      </c>
      <c r="K3" s="4" t="s">
        <v>139</v>
      </c>
    </row>
    <row r="4" customFormat="false" ht="51.75" hidden="false" customHeight="true" outlineLevel="0" collapsed="false">
      <c r="A4" s="3" t="s">
        <v>140</v>
      </c>
      <c r="B4" s="4" t="s">
        <v>141</v>
      </c>
      <c r="C4" s="4" t="s">
        <v>135</v>
      </c>
      <c r="D4" s="4" t="s">
        <v>135</v>
      </c>
      <c r="E4" s="4" t="s">
        <v>142</v>
      </c>
      <c r="F4" s="4" t="s">
        <v>135</v>
      </c>
      <c r="G4" s="4" t="s">
        <v>135</v>
      </c>
      <c r="H4" s="4" t="s">
        <v>135</v>
      </c>
      <c r="I4" s="4" t="s">
        <v>143</v>
      </c>
      <c r="J4" s="4" t="s">
        <v>144</v>
      </c>
      <c r="K4" s="4" t="s">
        <v>145</v>
      </c>
    </row>
    <row r="5" customFormat="false" ht="51.75" hidden="false" customHeight="true" outlineLevel="0" collapsed="false">
      <c r="A5" s="11" t="s">
        <v>146</v>
      </c>
      <c r="B5" s="12" t="s">
        <v>147</v>
      </c>
      <c r="C5" s="12" t="s">
        <v>135</v>
      </c>
      <c r="D5" s="12" t="s">
        <v>135</v>
      </c>
      <c r="E5" s="12" t="s">
        <v>148</v>
      </c>
      <c r="F5" s="12" t="s">
        <v>149</v>
      </c>
      <c r="G5" s="12" t="s">
        <v>135</v>
      </c>
      <c r="H5" s="12" t="s">
        <v>18</v>
      </c>
      <c r="I5" s="12" t="s">
        <v>148</v>
      </c>
      <c r="J5" s="12" t="s">
        <v>150</v>
      </c>
      <c r="K5" s="12" t="s">
        <v>151</v>
      </c>
    </row>
    <row r="6" customFormat="false" ht="51.75" hidden="false" customHeight="true" outlineLevel="0" collapsed="false">
      <c r="A6" s="3" t="s">
        <v>152</v>
      </c>
      <c r="B6" s="4" t="s">
        <v>153</v>
      </c>
      <c r="C6" s="4" t="s">
        <v>135</v>
      </c>
      <c r="D6" s="4" t="s">
        <v>135</v>
      </c>
      <c r="E6" s="4" t="s">
        <v>154</v>
      </c>
      <c r="F6" s="4" t="s">
        <v>135</v>
      </c>
      <c r="G6" s="4" t="s">
        <v>135</v>
      </c>
      <c r="H6" s="4" t="s">
        <v>155</v>
      </c>
      <c r="I6" s="4" t="s">
        <v>156</v>
      </c>
      <c r="J6" s="4" t="s">
        <v>157</v>
      </c>
      <c r="K6" s="4" t="s">
        <v>158</v>
      </c>
    </row>
    <row r="7" customFormat="false" ht="51.75" hidden="false" customHeight="true" outlineLevel="0" collapsed="false">
      <c r="A7" s="7" t="s">
        <v>57</v>
      </c>
      <c r="B7" s="8" t="s">
        <v>159</v>
      </c>
      <c r="C7" s="8" t="s">
        <v>135</v>
      </c>
      <c r="D7" s="8" t="s">
        <v>160</v>
      </c>
      <c r="E7" s="8" t="s">
        <v>161</v>
      </c>
      <c r="F7" s="8" t="s">
        <v>162</v>
      </c>
      <c r="G7" s="8" t="s">
        <v>135</v>
      </c>
      <c r="H7" s="8" t="s">
        <v>18</v>
      </c>
      <c r="I7" s="8" t="s">
        <v>163</v>
      </c>
      <c r="J7" s="8" t="s">
        <v>164</v>
      </c>
      <c r="K7" s="8" t="s">
        <v>165</v>
      </c>
    </row>
    <row r="8" customFormat="false" ht="51.75" hidden="false" customHeight="true" outlineLevel="0" collapsed="false">
      <c r="A8" s="9" t="s">
        <v>166</v>
      </c>
      <c r="B8" s="10" t="s">
        <v>167</v>
      </c>
      <c r="C8" s="10" t="s">
        <v>168</v>
      </c>
      <c r="D8" s="10" t="s">
        <v>169</v>
      </c>
      <c r="E8" s="10" t="s">
        <v>169</v>
      </c>
      <c r="F8" s="10" t="s">
        <v>170</v>
      </c>
      <c r="G8" s="10" t="s">
        <v>169</v>
      </c>
      <c r="H8" s="10" t="s">
        <v>169</v>
      </c>
      <c r="I8" s="10" t="s">
        <v>171</v>
      </c>
      <c r="J8" s="10" t="s">
        <v>71</v>
      </c>
      <c r="K8" s="10" t="s">
        <v>172</v>
      </c>
    </row>
    <row r="9" customFormat="false" ht="51.75" hidden="false" customHeight="true" outlineLevel="0" collapsed="false">
      <c r="A9" s="9" t="s">
        <v>173</v>
      </c>
      <c r="B9" s="10" t="s">
        <v>174</v>
      </c>
      <c r="C9" s="10" t="s">
        <v>175</v>
      </c>
      <c r="D9" s="10" t="s">
        <v>169</v>
      </c>
      <c r="E9" s="10" t="s">
        <v>169</v>
      </c>
      <c r="F9" s="10" t="s">
        <v>169</v>
      </c>
      <c r="G9" s="10" t="s">
        <v>169</v>
      </c>
      <c r="H9" s="10" t="s">
        <v>169</v>
      </c>
      <c r="I9" s="10" t="s">
        <v>176</v>
      </c>
      <c r="J9" s="10" t="s">
        <v>71</v>
      </c>
      <c r="K9" s="10" t="s">
        <v>177</v>
      </c>
    </row>
    <row r="10" customFormat="false" ht="51.75" hidden="false" customHeight="true" outlineLevel="0" collapsed="false">
      <c r="A10" s="11" t="s">
        <v>178</v>
      </c>
      <c r="B10" s="12" t="s">
        <v>179</v>
      </c>
      <c r="C10" s="12" t="s">
        <v>180</v>
      </c>
      <c r="D10" s="12" t="s">
        <v>71</v>
      </c>
      <c r="E10" s="12" t="s">
        <v>181</v>
      </c>
      <c r="F10" s="12" t="s">
        <v>181</v>
      </c>
      <c r="G10" s="12" t="s">
        <v>71</v>
      </c>
      <c r="H10" s="12" t="s">
        <v>71</v>
      </c>
      <c r="I10" s="12" t="s">
        <v>182</v>
      </c>
      <c r="J10" s="12" t="s">
        <v>18</v>
      </c>
      <c r="K10" s="12" t="s">
        <v>183</v>
      </c>
    </row>
    <row r="11" customFormat="false" ht="51.75" hidden="false" customHeight="true" outlineLevel="0" collapsed="false">
      <c r="A11" s="11" t="s">
        <v>184</v>
      </c>
      <c r="B11" s="12" t="s">
        <v>185</v>
      </c>
      <c r="C11" s="12" t="s">
        <v>185</v>
      </c>
      <c r="D11" s="12" t="s">
        <v>186</v>
      </c>
      <c r="E11" s="12" t="s">
        <v>169</v>
      </c>
      <c r="F11" s="12" t="s">
        <v>89</v>
      </c>
      <c r="G11" s="12" t="s">
        <v>169</v>
      </c>
      <c r="H11" s="12" t="s">
        <v>169</v>
      </c>
      <c r="I11" s="12" t="s">
        <v>187</v>
      </c>
      <c r="J11" s="12" t="s">
        <v>169</v>
      </c>
      <c r="K11" s="12" t="s">
        <v>188</v>
      </c>
    </row>
    <row r="12" customFormat="false" ht="51.75" hidden="false" customHeight="true" outlineLevel="0" collapsed="false">
      <c r="A12" s="3" t="s">
        <v>99</v>
      </c>
      <c r="B12" s="4" t="s">
        <v>189</v>
      </c>
      <c r="C12" s="4" t="s">
        <v>135</v>
      </c>
      <c r="D12" s="4" t="s">
        <v>190</v>
      </c>
      <c r="E12" s="4" t="s">
        <v>161</v>
      </c>
      <c r="F12" s="4" t="s">
        <v>191</v>
      </c>
      <c r="G12" s="4" t="s">
        <v>160</v>
      </c>
      <c r="H12" s="4" t="s">
        <v>18</v>
      </c>
      <c r="I12" s="4" t="s">
        <v>192</v>
      </c>
      <c r="J12" s="4" t="s">
        <v>164</v>
      </c>
      <c r="K12" s="4" t="s">
        <v>193</v>
      </c>
    </row>
    <row r="13" customFormat="false" ht="51.75" hidden="false" customHeight="true" outlineLevel="0" collapsed="false">
      <c r="A13" s="3" t="s">
        <v>110</v>
      </c>
      <c r="B13" s="4" t="s">
        <v>194</v>
      </c>
      <c r="C13" s="4" t="s">
        <v>135</v>
      </c>
      <c r="D13" s="4" t="s">
        <v>135</v>
      </c>
      <c r="E13" s="4" t="s">
        <v>160</v>
      </c>
      <c r="F13" s="4" t="s">
        <v>135</v>
      </c>
      <c r="G13" s="4" t="s">
        <v>160</v>
      </c>
      <c r="H13" s="4" t="s">
        <v>18</v>
      </c>
      <c r="I13" s="4" t="s">
        <v>195</v>
      </c>
      <c r="J13" s="4" t="s">
        <v>164</v>
      </c>
      <c r="K13" s="4" t="s">
        <v>196</v>
      </c>
    </row>
    <row r="15" customFormat="false" ht="48" hidden="false" customHeight="true" outlineLevel="0" collapsed="false">
      <c r="A15" s="14" t="s">
        <v>197</v>
      </c>
      <c r="B15" s="14"/>
      <c r="C15" s="14"/>
      <c r="D15" s="14"/>
      <c r="E15" s="14"/>
      <c r="F15" s="14"/>
      <c r="G15" s="14"/>
      <c r="H15" s="14"/>
      <c r="I15" s="14"/>
      <c r="J15" s="14"/>
      <c r="K15" s="14"/>
    </row>
  </sheetData>
  <mergeCells count="2">
    <mergeCell ref="A1:K1"/>
    <mergeCell ref="A15:K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16"/>
    <col collapsed="false" customWidth="true" hidden="false" outlineLevel="0" max="4" min="4" style="0" width="26"/>
    <col collapsed="false" customWidth="true" hidden="false" outlineLevel="0" max="5" min="5" style="0" width="18"/>
    <col collapsed="false" customWidth="true" hidden="false" outlineLevel="0" max="6" min="6" style="0" width="22"/>
    <col collapsed="false" customWidth="true" hidden="false" outlineLevel="0" max="8" min="7" style="0" width="28"/>
    <col collapsed="false" customWidth="true" hidden="false" outlineLevel="0" max="9" min="9" style="0" width="55"/>
  </cols>
  <sheetData>
    <row r="1" customFormat="false" ht="30" hidden="false" customHeight="true" outlineLevel="0" collapsed="false">
      <c r="A1" s="1" t="s">
        <v>198</v>
      </c>
      <c r="B1" s="1"/>
      <c r="C1" s="1"/>
      <c r="D1" s="1"/>
      <c r="E1" s="1"/>
      <c r="F1" s="1"/>
      <c r="G1" s="1"/>
      <c r="H1" s="1"/>
      <c r="I1" s="1"/>
    </row>
    <row r="2" customFormat="false" ht="27.75" hidden="false" customHeight="true" outlineLevel="0" collapsed="false">
      <c r="A2" s="2" t="s">
        <v>199</v>
      </c>
      <c r="B2" s="2" t="s">
        <v>200</v>
      </c>
      <c r="C2" s="2" t="s">
        <v>201</v>
      </c>
      <c r="D2" s="2" t="s">
        <v>202</v>
      </c>
      <c r="E2" s="2" t="s">
        <v>203</v>
      </c>
      <c r="F2" s="2" t="s">
        <v>204</v>
      </c>
      <c r="G2" s="2" t="s">
        <v>205</v>
      </c>
      <c r="H2" s="2" t="s">
        <v>206</v>
      </c>
      <c r="I2" s="2" t="s">
        <v>10</v>
      </c>
    </row>
    <row r="3" customFormat="false" ht="48" hidden="false" customHeight="true" outlineLevel="0" collapsed="false">
      <c r="A3" s="3" t="s">
        <v>207</v>
      </c>
      <c r="B3" s="4" t="s">
        <v>208</v>
      </c>
      <c r="C3" s="4" t="s">
        <v>169</v>
      </c>
      <c r="D3" s="4" t="s">
        <v>209</v>
      </c>
      <c r="E3" s="4" t="s">
        <v>210</v>
      </c>
      <c r="F3" s="4" t="s">
        <v>211</v>
      </c>
      <c r="G3" s="4" t="s">
        <v>212</v>
      </c>
      <c r="H3" s="4" t="s">
        <v>213</v>
      </c>
      <c r="I3" s="4" t="s">
        <v>214</v>
      </c>
    </row>
    <row r="4" customFormat="false" ht="48" hidden="false" customHeight="true" outlineLevel="0" collapsed="false">
      <c r="A4" s="3" t="s">
        <v>215</v>
      </c>
      <c r="B4" s="4" t="s">
        <v>216</v>
      </c>
      <c r="C4" s="4" t="s">
        <v>217</v>
      </c>
      <c r="D4" s="4" t="s">
        <v>218</v>
      </c>
      <c r="E4" s="4" t="s">
        <v>219</v>
      </c>
      <c r="F4" s="4" t="s">
        <v>220</v>
      </c>
      <c r="G4" s="4" t="s">
        <v>221</v>
      </c>
      <c r="H4" s="4" t="s">
        <v>222</v>
      </c>
      <c r="I4" s="4" t="s">
        <v>223</v>
      </c>
    </row>
    <row r="5" customFormat="false" ht="48" hidden="false" customHeight="true" outlineLevel="0" collapsed="false">
      <c r="A5" s="3" t="s">
        <v>140</v>
      </c>
      <c r="B5" s="4" t="s">
        <v>216</v>
      </c>
      <c r="C5" s="4" t="s">
        <v>217</v>
      </c>
      <c r="D5" s="4" t="s">
        <v>224</v>
      </c>
      <c r="E5" s="4" t="s">
        <v>225</v>
      </c>
      <c r="F5" s="4" t="s">
        <v>226</v>
      </c>
      <c r="G5" s="4" t="s">
        <v>227</v>
      </c>
      <c r="H5" s="4" t="s">
        <v>228</v>
      </c>
      <c r="I5" s="4" t="s">
        <v>229</v>
      </c>
    </row>
    <row r="6" customFormat="false" ht="48" hidden="false" customHeight="true" outlineLevel="0" collapsed="false">
      <c r="A6" s="3" t="s">
        <v>230</v>
      </c>
      <c r="B6" s="4" t="s">
        <v>231</v>
      </c>
      <c r="C6" s="4" t="s">
        <v>217</v>
      </c>
      <c r="D6" s="4" t="s">
        <v>232</v>
      </c>
      <c r="E6" s="4" t="s">
        <v>222</v>
      </c>
      <c r="F6" s="4" t="s">
        <v>233</v>
      </c>
      <c r="G6" s="4" t="s">
        <v>234</v>
      </c>
      <c r="H6" s="4" t="s">
        <v>235</v>
      </c>
      <c r="I6" s="4" t="s">
        <v>236</v>
      </c>
    </row>
    <row r="7" customFormat="false" ht="48" hidden="false" customHeight="true" outlineLevel="0" collapsed="false">
      <c r="A7" s="7" t="s">
        <v>237</v>
      </c>
      <c r="B7" s="8" t="s">
        <v>238</v>
      </c>
      <c r="C7" s="8" t="s">
        <v>239</v>
      </c>
      <c r="D7" s="8" t="s">
        <v>240</v>
      </c>
      <c r="E7" s="8" t="s">
        <v>210</v>
      </c>
      <c r="F7" s="8" t="s">
        <v>210</v>
      </c>
      <c r="G7" s="8" t="s">
        <v>241</v>
      </c>
      <c r="H7" s="8" t="s">
        <v>242</v>
      </c>
      <c r="I7" s="8" t="s">
        <v>243</v>
      </c>
    </row>
    <row r="8" customFormat="false" ht="48" hidden="false" customHeight="true" outlineLevel="0" collapsed="false">
      <c r="A8" s="9" t="s">
        <v>166</v>
      </c>
      <c r="B8" s="10" t="s">
        <v>244</v>
      </c>
      <c r="C8" s="10" t="s">
        <v>169</v>
      </c>
      <c r="D8" s="10" t="s">
        <v>245</v>
      </c>
      <c r="E8" s="10" t="s">
        <v>89</v>
      </c>
      <c r="F8" s="10" t="s">
        <v>246</v>
      </c>
      <c r="G8" s="10" t="s">
        <v>247</v>
      </c>
      <c r="H8" s="10" t="s">
        <v>248</v>
      </c>
      <c r="I8" s="10" t="s">
        <v>249</v>
      </c>
    </row>
    <row r="9" customFormat="false" ht="48" hidden="false" customHeight="true" outlineLevel="0" collapsed="false">
      <c r="A9" s="11" t="s">
        <v>184</v>
      </c>
      <c r="B9" s="12" t="s">
        <v>244</v>
      </c>
      <c r="C9" s="12" t="s">
        <v>169</v>
      </c>
      <c r="D9" s="12" t="s">
        <v>250</v>
      </c>
      <c r="E9" s="12" t="s">
        <v>251</v>
      </c>
      <c r="F9" s="12" t="s">
        <v>252</v>
      </c>
      <c r="G9" s="12" t="s">
        <v>253</v>
      </c>
      <c r="H9" s="12" t="s">
        <v>254</v>
      </c>
      <c r="I9" s="12" t="s">
        <v>255</v>
      </c>
    </row>
    <row r="10" customFormat="false" ht="48" hidden="false" customHeight="true" outlineLevel="0" collapsed="false">
      <c r="A10" s="5" t="s">
        <v>256</v>
      </c>
      <c r="B10" s="6" t="s">
        <v>257</v>
      </c>
      <c r="C10" s="6" t="s">
        <v>239</v>
      </c>
      <c r="D10" s="6" t="s">
        <v>258</v>
      </c>
      <c r="E10" s="6" t="s">
        <v>259</v>
      </c>
      <c r="F10" s="6" t="s">
        <v>260</v>
      </c>
      <c r="G10" s="6" t="s">
        <v>261</v>
      </c>
      <c r="H10" s="6" t="s">
        <v>262</v>
      </c>
      <c r="I10" s="6" t="s">
        <v>263</v>
      </c>
    </row>
    <row r="11" customFormat="false" ht="48" hidden="false" customHeight="true" outlineLevel="0" collapsed="false">
      <c r="A11" s="5" t="s">
        <v>264</v>
      </c>
      <c r="B11" s="6" t="s">
        <v>257</v>
      </c>
      <c r="C11" s="6" t="s">
        <v>164</v>
      </c>
      <c r="D11" s="6" t="s">
        <v>265</v>
      </c>
      <c r="E11" s="6" t="s">
        <v>210</v>
      </c>
      <c r="F11" s="6" t="s">
        <v>210</v>
      </c>
      <c r="G11" s="6" t="s">
        <v>266</v>
      </c>
      <c r="H11" s="6" t="s">
        <v>262</v>
      </c>
      <c r="I11" s="6" t="s">
        <v>267</v>
      </c>
    </row>
    <row r="12" customFormat="false" ht="48" hidden="false" customHeight="true" outlineLevel="0" collapsed="false">
      <c r="A12" s="5" t="s">
        <v>268</v>
      </c>
      <c r="B12" s="6" t="s">
        <v>269</v>
      </c>
      <c r="C12" s="6" t="s">
        <v>270</v>
      </c>
      <c r="D12" s="6" t="s">
        <v>271</v>
      </c>
      <c r="E12" s="6" t="s">
        <v>272</v>
      </c>
      <c r="F12" s="6" t="s">
        <v>272</v>
      </c>
      <c r="G12" s="6" t="s">
        <v>273</v>
      </c>
      <c r="H12" s="6" t="s">
        <v>274</v>
      </c>
      <c r="I12" s="6" t="s">
        <v>275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6"/>
    <col collapsed="false" customWidth="true" hidden="false" outlineLevel="0" max="5" min="5" style="0" width="20"/>
    <col collapsed="false" customWidth="true" hidden="false" outlineLevel="0" max="6" min="6" style="0" width="24"/>
    <col collapsed="false" customWidth="true" hidden="false" outlineLevel="0" max="7" min="7" style="0" width="50"/>
  </cols>
  <sheetData>
    <row r="1" customFormat="false" ht="27.75" hidden="false" customHeight="true" outlineLevel="0" collapsed="false">
      <c r="A1" s="15" t="s">
        <v>276</v>
      </c>
      <c r="B1" s="15"/>
      <c r="C1" s="15"/>
      <c r="D1" s="15"/>
      <c r="E1" s="15"/>
      <c r="F1" s="15"/>
      <c r="G1" s="15"/>
    </row>
    <row r="3" customFormat="false" ht="15" hidden="false" customHeight="true" outlineLevel="0" collapsed="false">
      <c r="A3" s="16" t="s">
        <v>277</v>
      </c>
      <c r="B3" s="16"/>
      <c r="C3" s="16"/>
    </row>
    <row r="4" customFormat="false" ht="15" hidden="false" customHeight="false" outlineLevel="0" collapsed="false">
      <c r="A4" s="6" t="s">
        <v>278</v>
      </c>
      <c r="B4" s="17" t="n">
        <v>10000</v>
      </c>
      <c r="C4" s="18" t="s">
        <v>279</v>
      </c>
    </row>
    <row r="5" customFormat="false" ht="15" hidden="false" customHeight="false" outlineLevel="0" collapsed="false">
      <c r="A5" s="6" t="s">
        <v>280</v>
      </c>
      <c r="B5" s="17" t="n">
        <v>800</v>
      </c>
      <c r="C5" s="18" t="s">
        <v>281</v>
      </c>
    </row>
    <row r="6" customFormat="false" ht="15" hidden="false" customHeight="false" outlineLevel="0" collapsed="false">
      <c r="A6" s="6" t="s">
        <v>282</v>
      </c>
      <c r="B6" s="17" t="n">
        <v>400</v>
      </c>
      <c r="C6" s="18" t="s">
        <v>281</v>
      </c>
    </row>
    <row r="7" customFormat="false" ht="23.85" hidden="false" customHeight="false" outlineLevel="0" collapsed="false">
      <c r="A7" s="6" t="s">
        <v>283</v>
      </c>
      <c r="B7" s="17" t="n">
        <v>0.6</v>
      </c>
      <c r="C7" s="18" t="s">
        <v>284</v>
      </c>
    </row>
    <row r="9" customFormat="false" ht="27.75" hidden="false" customHeight="true" outlineLevel="0" collapsed="false">
      <c r="A9" s="19" t="s">
        <v>285</v>
      </c>
      <c r="B9" s="19" t="s">
        <v>3</v>
      </c>
      <c r="C9" s="19" t="s">
        <v>286</v>
      </c>
      <c r="D9" s="19" t="s">
        <v>4</v>
      </c>
      <c r="E9" s="19" t="s">
        <v>287</v>
      </c>
      <c r="F9" s="19" t="s">
        <v>288</v>
      </c>
      <c r="G9" s="19" t="s">
        <v>289</v>
      </c>
    </row>
    <row r="10" customFormat="false" ht="30" hidden="false" customHeight="true" outlineLevel="0" collapsed="false">
      <c r="A10" s="3" t="s">
        <v>290</v>
      </c>
      <c r="B10" s="20" t="n">
        <v>0.1</v>
      </c>
      <c r="C10" s="20" t="n">
        <v>0.01</v>
      </c>
      <c r="D10" s="20" t="n">
        <v>0.4</v>
      </c>
      <c r="E10" s="21" t="n">
        <f aca="false">ROUND(((B$5*(1-B$7)*0.1 + B$5*B$7*0.01 + B$6*0.4)/1000000)*B$4, 2)</f>
        <v>1.97</v>
      </c>
      <c r="F10" s="22" t="n">
        <f aca="false">ROUND(E10*0.5, 2)</f>
        <v>0.99</v>
      </c>
      <c r="G10" s="23" t="s">
        <v>291</v>
      </c>
    </row>
    <row r="11" customFormat="false" ht="30" hidden="false" customHeight="true" outlineLevel="0" collapsed="false">
      <c r="A11" s="3" t="s">
        <v>292</v>
      </c>
      <c r="B11" s="20" t="n">
        <v>0.1</v>
      </c>
      <c r="C11" s="20" t="n">
        <v>0.01</v>
      </c>
      <c r="D11" s="20" t="n">
        <v>0.4</v>
      </c>
      <c r="E11" s="21" t="n">
        <f aca="false">ROUND(((B$5*(1-B$7)*0.1 + B$5*B$7*0.01 + B$6*0.4)/1000000)*B$4, 2)</f>
        <v>1.97</v>
      </c>
      <c r="F11" s="22" t="n">
        <f aca="false">ROUND(E11*0.5, 2)</f>
        <v>0.99</v>
      </c>
      <c r="G11" s="23" t="s">
        <v>293</v>
      </c>
    </row>
    <row r="12" customFormat="false" ht="30" hidden="false" customHeight="true" outlineLevel="0" collapsed="false">
      <c r="A12" s="3" t="s">
        <v>294</v>
      </c>
      <c r="B12" s="20" t="n">
        <v>0.3</v>
      </c>
      <c r="C12" s="20" t="n">
        <v>0.03</v>
      </c>
      <c r="D12" s="20" t="n">
        <v>2.5</v>
      </c>
      <c r="E12" s="21" t="n">
        <f aca="false">ROUND(((B$5*(1-B$7)*0.3 + B$5*B$7*0.03 + B$6*2.5)/1000000)*B$4, 2)</f>
        <v>11.1</v>
      </c>
      <c r="F12" s="22" t="n">
        <f aca="false">ROUND(E12*0.5, 2)</f>
        <v>5.55</v>
      </c>
      <c r="G12" s="23" t="s">
        <v>295</v>
      </c>
    </row>
    <row r="13" customFormat="false" ht="30" hidden="false" customHeight="true" outlineLevel="0" collapsed="false">
      <c r="A13" s="3" t="s">
        <v>296</v>
      </c>
      <c r="B13" s="20" t="n">
        <v>0.4</v>
      </c>
      <c r="C13" s="20" t="n">
        <v>0.04</v>
      </c>
      <c r="D13" s="20" t="n">
        <v>1.6</v>
      </c>
      <c r="E13" s="21" t="n">
        <f aca="false">ROUND(((B$5*(1-B$7)*0.4 + B$5*B$7*0.04 + B$6*1.6)/1000000)*B$4, 2)</f>
        <v>7.87</v>
      </c>
      <c r="F13" s="22" t="n">
        <f aca="false">ROUND(E13*0.5, 2)</f>
        <v>3.94</v>
      </c>
      <c r="G13" s="23" t="s">
        <v>297</v>
      </c>
    </row>
    <row r="14" customFormat="false" ht="30" hidden="false" customHeight="true" outlineLevel="0" collapsed="false">
      <c r="A14" s="7" t="s">
        <v>58</v>
      </c>
      <c r="B14" s="24" t="n">
        <v>0.1</v>
      </c>
      <c r="C14" s="24" t="n">
        <v>0.1</v>
      </c>
      <c r="D14" s="24" t="n">
        <v>0.3</v>
      </c>
      <c r="E14" s="25" t="n">
        <f aca="false">ROUND(((B$5*(1-B$7)*0.1 + B$5*B$7*0.1 + B$6*0.3)/1000000)*B$4, 2)</f>
        <v>2</v>
      </c>
      <c r="F14" s="26" t="n">
        <f aca="false">ROUND(E14*0.5, 2)</f>
        <v>1</v>
      </c>
      <c r="G14" s="27" t="s">
        <v>298</v>
      </c>
    </row>
    <row r="15" customFormat="false" ht="30" hidden="false" customHeight="true" outlineLevel="0" collapsed="false">
      <c r="A15" s="7" t="s">
        <v>62</v>
      </c>
      <c r="B15" s="24" t="n">
        <v>2</v>
      </c>
      <c r="C15" s="24" t="n">
        <v>2</v>
      </c>
      <c r="D15" s="24" t="n">
        <v>6</v>
      </c>
      <c r="E15" s="25" t="n">
        <f aca="false">ROUND(((B$5*(1-B$7)*2 + B$5*B$7*2 + B$6*6)/1000000)*B$4, 2)</f>
        <v>40</v>
      </c>
      <c r="F15" s="26" t="n">
        <f aca="false">ROUND(E15*0.5, 2)</f>
        <v>20</v>
      </c>
      <c r="G15" s="27" t="s">
        <v>298</v>
      </c>
    </row>
    <row r="16" customFormat="false" ht="30" hidden="false" customHeight="true" outlineLevel="0" collapsed="false">
      <c r="A16" s="5" t="s">
        <v>299</v>
      </c>
      <c r="B16" s="28" t="n">
        <v>1.25</v>
      </c>
      <c r="C16" s="28" t="n">
        <v>0.125</v>
      </c>
      <c r="D16" s="28" t="n">
        <v>10</v>
      </c>
      <c r="E16" s="29" t="n">
        <f aca="false">ROUND(((B$5*(1-B$7)*1.25 + B$5*B$7*0.125 + B$6*10)/1000000)*B$4, 2)</f>
        <v>44.6</v>
      </c>
      <c r="F16" s="30" t="n">
        <f aca="false">ROUND(E16*0.5, 2)</f>
        <v>22.3</v>
      </c>
      <c r="G16" s="31" t="s">
        <v>300</v>
      </c>
    </row>
    <row r="17" customFormat="false" ht="30" hidden="false" customHeight="true" outlineLevel="0" collapsed="false">
      <c r="A17" s="5" t="s">
        <v>301</v>
      </c>
      <c r="B17" s="28" t="n">
        <v>2</v>
      </c>
      <c r="C17" s="28" t="n">
        <v>0.2</v>
      </c>
      <c r="D17" s="28" t="n">
        <v>8</v>
      </c>
      <c r="E17" s="29" t="n">
        <f aca="false">ROUND(((B$5*(1-B$7)*2 + B$5*B$7*0.2 + B$6*8)/1000000)*B$4, 2)</f>
        <v>39.36</v>
      </c>
      <c r="F17" s="30" t="n">
        <f aca="false">ROUND(E17*0.5, 2)</f>
        <v>19.68</v>
      </c>
      <c r="G17" s="31" t="s">
        <v>302</v>
      </c>
    </row>
    <row r="18" customFormat="false" ht="30" hidden="false" customHeight="true" outlineLevel="0" collapsed="false">
      <c r="A18" s="9" t="s">
        <v>303</v>
      </c>
      <c r="B18" s="32" t="n">
        <v>0.14</v>
      </c>
      <c r="C18" s="32" t="n">
        <v>0.0028</v>
      </c>
      <c r="D18" s="32" t="n">
        <v>0.28</v>
      </c>
      <c r="E18" s="33" t="n">
        <f aca="false">ROUND(((B$5*(1-B$7)*0.14 + B$5*B$7*0.0028 + B$6*0.28)/1000000)*B$4, 2)</f>
        <v>1.58</v>
      </c>
      <c r="F18" s="34" t="n">
        <f aca="false">ROUND(E18*0.5, 2)</f>
        <v>0.79</v>
      </c>
      <c r="G18" s="35" t="s">
        <v>304</v>
      </c>
    </row>
    <row r="19" customFormat="false" ht="30" hidden="false" customHeight="true" outlineLevel="0" collapsed="false">
      <c r="A19" s="5" t="s">
        <v>305</v>
      </c>
      <c r="B19" s="28" t="n">
        <v>0.59</v>
      </c>
      <c r="C19" s="28" t="n">
        <v>0.59</v>
      </c>
      <c r="D19" s="28" t="n">
        <v>0.79</v>
      </c>
      <c r="E19" s="29" t="n">
        <f aca="false">ROUND(((B$5*(1-B$7)*0.59 + B$5*B$7*0.59 + B$6*0.79)/1000000)*B$4, 2)</f>
        <v>7.88</v>
      </c>
      <c r="F19" s="30" t="n">
        <f aca="false">ROUND(E19*0.5, 2)</f>
        <v>3.94</v>
      </c>
      <c r="G19" s="31" t="s">
        <v>306</v>
      </c>
    </row>
  </sheetData>
  <mergeCells count="2">
    <mergeCell ref="A1:G1"/>
    <mergeCell ref="A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18"/>
    <col collapsed="false" customWidth="true" hidden="false" outlineLevel="0" max="4" min="4" style="0" width="22"/>
    <col collapsed="false" customWidth="true" hidden="false" outlineLevel="0" max="5" min="5" style="0" width="18"/>
    <col collapsed="false" customWidth="true" hidden="false" outlineLevel="0" max="6" min="6" style="0" width="16"/>
    <col collapsed="false" customWidth="true" hidden="false" outlineLevel="0" max="7" min="7" style="0" width="60"/>
    <col collapsed="false" customWidth="true" hidden="false" outlineLevel="0" max="8" min="8" style="0" width="26"/>
  </cols>
  <sheetData>
    <row r="1" customFormat="false" ht="30" hidden="false" customHeight="true" outlineLevel="0" collapsed="false">
      <c r="A1" s="1" t="s">
        <v>307</v>
      </c>
      <c r="B1" s="1"/>
      <c r="C1" s="1"/>
      <c r="D1" s="1"/>
      <c r="E1" s="1"/>
      <c r="F1" s="1"/>
      <c r="G1" s="1"/>
      <c r="H1" s="1"/>
    </row>
    <row r="2" customFormat="false" ht="27.75" hidden="false" customHeight="true" outlineLevel="0" collapsed="false">
      <c r="A2" s="2" t="s">
        <v>308</v>
      </c>
      <c r="B2" s="2" t="s">
        <v>309</v>
      </c>
      <c r="C2" s="2" t="s">
        <v>310</v>
      </c>
      <c r="D2" s="2" t="s">
        <v>311</v>
      </c>
      <c r="E2" s="2" t="s">
        <v>312</v>
      </c>
      <c r="F2" s="2" t="s">
        <v>313</v>
      </c>
      <c r="G2" s="2" t="s">
        <v>314</v>
      </c>
      <c r="H2" s="2" t="s">
        <v>315</v>
      </c>
    </row>
    <row r="3" customFormat="false" ht="54.75" hidden="false" customHeight="true" outlineLevel="0" collapsed="false">
      <c r="A3" s="3" t="s">
        <v>296</v>
      </c>
      <c r="B3" s="4" t="s">
        <v>316</v>
      </c>
      <c r="C3" s="4" t="s">
        <v>317</v>
      </c>
      <c r="D3" s="4" t="s">
        <v>318</v>
      </c>
      <c r="E3" s="4" t="s">
        <v>317</v>
      </c>
      <c r="F3" s="4" t="s">
        <v>317</v>
      </c>
      <c r="G3" s="4" t="s">
        <v>319</v>
      </c>
      <c r="H3" s="3" t="s">
        <v>320</v>
      </c>
    </row>
    <row r="4" customFormat="false" ht="54.75" hidden="false" customHeight="true" outlineLevel="0" collapsed="false">
      <c r="A4" s="3" t="s">
        <v>321</v>
      </c>
      <c r="B4" s="4" t="s">
        <v>322</v>
      </c>
      <c r="C4" s="4" t="s">
        <v>317</v>
      </c>
      <c r="D4" s="4" t="s">
        <v>318</v>
      </c>
      <c r="E4" s="4" t="s">
        <v>323</v>
      </c>
      <c r="F4" s="4" t="s">
        <v>317</v>
      </c>
      <c r="G4" s="4" t="s">
        <v>324</v>
      </c>
      <c r="H4" s="3" t="s">
        <v>325</v>
      </c>
    </row>
    <row r="5" customFormat="false" ht="54.75" hidden="false" customHeight="true" outlineLevel="0" collapsed="false">
      <c r="A5" s="3" t="s">
        <v>290</v>
      </c>
      <c r="B5" s="4" t="s">
        <v>322</v>
      </c>
      <c r="C5" s="4" t="s">
        <v>317</v>
      </c>
      <c r="D5" s="4" t="s">
        <v>318</v>
      </c>
      <c r="E5" s="4" t="s">
        <v>326</v>
      </c>
      <c r="F5" s="4" t="s">
        <v>323</v>
      </c>
      <c r="G5" s="4" t="s">
        <v>327</v>
      </c>
      <c r="H5" s="3" t="s">
        <v>328</v>
      </c>
    </row>
    <row r="6" customFormat="false" ht="54.75" hidden="false" customHeight="true" outlineLevel="0" collapsed="false">
      <c r="A6" s="3" t="s">
        <v>292</v>
      </c>
      <c r="B6" s="4" t="s">
        <v>322</v>
      </c>
      <c r="C6" s="4" t="s">
        <v>317</v>
      </c>
      <c r="D6" s="4" t="s">
        <v>317</v>
      </c>
      <c r="E6" s="4" t="s">
        <v>326</v>
      </c>
      <c r="F6" s="4" t="s">
        <v>323</v>
      </c>
      <c r="G6" s="4" t="s">
        <v>329</v>
      </c>
      <c r="H6" s="3" t="s">
        <v>328</v>
      </c>
    </row>
    <row r="7" customFormat="false" ht="54.75" hidden="false" customHeight="true" outlineLevel="0" collapsed="false">
      <c r="A7" s="7" t="s">
        <v>62</v>
      </c>
      <c r="B7" s="8" t="s">
        <v>316</v>
      </c>
      <c r="C7" s="8" t="s">
        <v>330</v>
      </c>
      <c r="D7" s="8" t="s">
        <v>331</v>
      </c>
      <c r="E7" s="8" t="s">
        <v>323</v>
      </c>
      <c r="F7" s="8" t="s">
        <v>323</v>
      </c>
      <c r="G7" s="8" t="s">
        <v>332</v>
      </c>
      <c r="H7" s="7" t="s">
        <v>333</v>
      </c>
    </row>
    <row r="8" customFormat="false" ht="54.75" hidden="false" customHeight="true" outlineLevel="0" collapsed="false">
      <c r="A8" s="7" t="s">
        <v>58</v>
      </c>
      <c r="B8" s="8" t="s">
        <v>322</v>
      </c>
      <c r="C8" s="8" t="s">
        <v>330</v>
      </c>
      <c r="D8" s="8" t="s">
        <v>331</v>
      </c>
      <c r="E8" s="8" t="s">
        <v>334</v>
      </c>
      <c r="F8" s="8" t="s">
        <v>334</v>
      </c>
      <c r="G8" s="8" t="s">
        <v>335</v>
      </c>
      <c r="H8" s="7" t="s">
        <v>336</v>
      </c>
    </row>
    <row r="9" customFormat="false" ht="54.75" hidden="false" customHeight="true" outlineLevel="0" collapsed="false">
      <c r="A9" s="5" t="s">
        <v>337</v>
      </c>
      <c r="B9" s="6" t="s">
        <v>338</v>
      </c>
      <c r="C9" s="6" t="s">
        <v>317</v>
      </c>
      <c r="D9" s="6" t="s">
        <v>317</v>
      </c>
      <c r="E9" s="6" t="s">
        <v>317</v>
      </c>
      <c r="F9" s="6" t="s">
        <v>323</v>
      </c>
      <c r="G9" s="6" t="s">
        <v>339</v>
      </c>
      <c r="H9" s="5" t="s">
        <v>340</v>
      </c>
    </row>
    <row r="10" customFormat="false" ht="54.75" hidden="false" customHeight="true" outlineLevel="0" collapsed="false">
      <c r="A10" s="5" t="s">
        <v>301</v>
      </c>
      <c r="B10" s="6" t="s">
        <v>338</v>
      </c>
      <c r="C10" s="6" t="s">
        <v>317</v>
      </c>
      <c r="D10" s="6" t="s">
        <v>317</v>
      </c>
      <c r="E10" s="6" t="s">
        <v>317</v>
      </c>
      <c r="F10" s="6" t="s">
        <v>323</v>
      </c>
      <c r="G10" s="6" t="s">
        <v>341</v>
      </c>
      <c r="H10" s="5" t="s">
        <v>340</v>
      </c>
    </row>
    <row r="11" customFormat="false" ht="54.75" hidden="false" customHeight="true" outlineLevel="0" collapsed="false">
      <c r="A11" s="5" t="s">
        <v>342</v>
      </c>
      <c r="B11" s="6" t="s">
        <v>322</v>
      </c>
      <c r="C11" s="6" t="s">
        <v>343</v>
      </c>
      <c r="D11" s="6" t="s">
        <v>344</v>
      </c>
      <c r="E11" s="6" t="s">
        <v>323</v>
      </c>
      <c r="F11" s="6" t="s">
        <v>323</v>
      </c>
      <c r="G11" s="6" t="s">
        <v>345</v>
      </c>
      <c r="H11" s="5" t="s">
        <v>346</v>
      </c>
    </row>
    <row r="12" customFormat="false" ht="54.75" hidden="false" customHeight="true" outlineLevel="0" collapsed="false">
      <c r="A12" s="5" t="s">
        <v>347</v>
      </c>
      <c r="B12" s="6" t="s">
        <v>322</v>
      </c>
      <c r="C12" s="6" t="s">
        <v>348</v>
      </c>
      <c r="D12" s="6" t="s">
        <v>349</v>
      </c>
      <c r="E12" s="6" t="s">
        <v>323</v>
      </c>
      <c r="F12" s="6" t="s">
        <v>334</v>
      </c>
      <c r="G12" s="6" t="s">
        <v>350</v>
      </c>
      <c r="H12" s="5" t="s">
        <v>351</v>
      </c>
    </row>
    <row r="13" customFormat="false" ht="54.75" hidden="false" customHeight="true" outlineLevel="0" collapsed="false">
      <c r="A13" s="11" t="s">
        <v>184</v>
      </c>
      <c r="B13" s="12" t="s">
        <v>352</v>
      </c>
      <c r="C13" s="12" t="s">
        <v>353</v>
      </c>
      <c r="D13" s="12" t="s">
        <v>354</v>
      </c>
      <c r="E13" s="12" t="s">
        <v>89</v>
      </c>
      <c r="F13" s="12" t="s">
        <v>355</v>
      </c>
      <c r="G13" s="12" t="s">
        <v>356</v>
      </c>
      <c r="H13" s="11" t="s">
        <v>357</v>
      </c>
    </row>
    <row r="14" customFormat="false" ht="54.75" hidden="false" customHeight="true" outlineLevel="0" collapsed="false">
      <c r="A14" s="9" t="s">
        <v>358</v>
      </c>
      <c r="B14" s="10" t="s">
        <v>359</v>
      </c>
      <c r="C14" s="10" t="s">
        <v>360</v>
      </c>
      <c r="D14" s="10" t="s">
        <v>354</v>
      </c>
      <c r="E14" s="10" t="s">
        <v>323</v>
      </c>
      <c r="F14" s="10" t="s">
        <v>355</v>
      </c>
      <c r="G14" s="10" t="s">
        <v>361</v>
      </c>
      <c r="H14" s="9" t="s">
        <v>362</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5"/>
    <col collapsed="false" customWidth="true" hidden="false" outlineLevel="0" max="3" min="3" style="0" width="45"/>
    <col collapsed="false" customWidth="true" hidden="false" outlineLevel="0" max="4" min="4" style="0" width="70"/>
  </cols>
  <sheetData>
    <row r="1" customFormat="false" ht="30" hidden="false" customHeight="true" outlineLevel="0" collapsed="false">
      <c r="A1" s="1" t="s">
        <v>363</v>
      </c>
      <c r="B1" s="1"/>
      <c r="C1" s="1"/>
      <c r="D1" s="1"/>
    </row>
    <row r="2" customFormat="false" ht="24" hidden="false" customHeight="true" outlineLevel="0" collapsed="false">
      <c r="A2" s="2" t="s">
        <v>364</v>
      </c>
      <c r="B2" s="2" t="s">
        <v>365</v>
      </c>
      <c r="C2" s="2" t="s">
        <v>366</v>
      </c>
      <c r="D2" s="2" t="s">
        <v>367</v>
      </c>
    </row>
    <row r="3" customFormat="false" ht="30" hidden="false" customHeight="true" outlineLevel="0" collapsed="false">
      <c r="A3" s="3" t="s">
        <v>368</v>
      </c>
      <c r="B3" s="4" t="s">
        <v>369</v>
      </c>
      <c r="C3" s="4" t="s">
        <v>370</v>
      </c>
      <c r="D3" s="4" t="s">
        <v>371</v>
      </c>
    </row>
    <row r="4" customFormat="false" ht="30" hidden="false" customHeight="true" outlineLevel="0" collapsed="false">
      <c r="A4" s="36" t="s">
        <v>372</v>
      </c>
      <c r="B4" s="37" t="s">
        <v>369</v>
      </c>
      <c r="C4" s="37" t="s">
        <v>373</v>
      </c>
      <c r="D4" s="37" t="s">
        <v>374</v>
      </c>
    </row>
    <row r="5" customFormat="false" ht="30" hidden="false" customHeight="true" outlineLevel="0" collapsed="false">
      <c r="A5" s="3" t="s">
        <v>375</v>
      </c>
      <c r="B5" s="4" t="s">
        <v>369</v>
      </c>
      <c r="C5" s="4" t="s">
        <v>376</v>
      </c>
      <c r="D5" s="4" t="s">
        <v>377</v>
      </c>
    </row>
    <row r="6" customFormat="false" ht="30" hidden="false" customHeight="true" outlineLevel="0" collapsed="false">
      <c r="A6" s="36" t="s">
        <v>378</v>
      </c>
      <c r="B6" s="37" t="s">
        <v>379</v>
      </c>
      <c r="C6" s="37" t="s">
        <v>380</v>
      </c>
      <c r="D6" s="37" t="s">
        <v>381</v>
      </c>
    </row>
    <row r="7" customFormat="false" ht="30" hidden="false" customHeight="true" outlineLevel="0" collapsed="false">
      <c r="A7" s="3" t="s">
        <v>382</v>
      </c>
      <c r="B7" s="4" t="s">
        <v>383</v>
      </c>
      <c r="C7" s="4" t="s">
        <v>384</v>
      </c>
      <c r="D7" s="4" t="s">
        <v>385</v>
      </c>
    </row>
    <row r="8" customFormat="false" ht="30" hidden="false" customHeight="true" outlineLevel="0" collapsed="false">
      <c r="A8" s="36" t="s">
        <v>386</v>
      </c>
      <c r="B8" s="37" t="s">
        <v>387</v>
      </c>
      <c r="C8" s="37" t="s">
        <v>388</v>
      </c>
      <c r="D8" s="37" t="s">
        <v>389</v>
      </c>
    </row>
    <row r="9" customFormat="false" ht="30" hidden="false" customHeight="true" outlineLevel="0" collapsed="false">
      <c r="A9" s="3" t="s">
        <v>390</v>
      </c>
      <c r="B9" s="4" t="s">
        <v>391</v>
      </c>
      <c r="C9" s="4" t="s">
        <v>392</v>
      </c>
      <c r="D9" s="4" t="s">
        <v>393</v>
      </c>
    </row>
    <row r="10" customFormat="false" ht="30" hidden="false" customHeight="true" outlineLevel="0" collapsed="false">
      <c r="A10" s="36" t="s">
        <v>394</v>
      </c>
      <c r="B10" s="37" t="s">
        <v>391</v>
      </c>
      <c r="C10" s="37" t="s">
        <v>395</v>
      </c>
      <c r="D10" s="37" t="s">
        <v>396</v>
      </c>
    </row>
    <row r="11" customFormat="false" ht="30" hidden="false" customHeight="true" outlineLevel="0" collapsed="false">
      <c r="A11" s="3" t="s">
        <v>397</v>
      </c>
      <c r="B11" s="4" t="s">
        <v>398</v>
      </c>
      <c r="C11" s="4" t="s">
        <v>399</v>
      </c>
      <c r="D11" s="4" t="s">
        <v>400</v>
      </c>
    </row>
    <row r="12" customFormat="false" ht="30" hidden="false" customHeight="true" outlineLevel="0" collapsed="false">
      <c r="A12" s="36" t="s">
        <v>401</v>
      </c>
      <c r="B12" s="37" t="s">
        <v>402</v>
      </c>
      <c r="C12" s="37" t="s">
        <v>403</v>
      </c>
      <c r="D12" s="37" t="s">
        <v>404</v>
      </c>
    </row>
    <row r="13" customFormat="false" ht="30" hidden="false" customHeight="true" outlineLevel="0" collapsed="false">
      <c r="A13" s="3" t="s">
        <v>405</v>
      </c>
      <c r="B13" s="4" t="s">
        <v>406</v>
      </c>
      <c r="C13" s="4" t="s">
        <v>407</v>
      </c>
      <c r="D13" s="4" t="s">
        <v>408</v>
      </c>
    </row>
    <row r="14" customFormat="false" ht="30" hidden="false" customHeight="true" outlineLevel="0" collapsed="false">
      <c r="A14" s="36" t="s">
        <v>409</v>
      </c>
      <c r="B14" s="37" t="s">
        <v>410</v>
      </c>
      <c r="C14" s="37" t="s">
        <v>411</v>
      </c>
      <c r="D14" s="37" t="s">
        <v>412</v>
      </c>
    </row>
    <row r="15" customFormat="false" ht="30" hidden="false" customHeight="true" outlineLevel="0" collapsed="false">
      <c r="A15" s="3" t="s">
        <v>413</v>
      </c>
      <c r="B15" s="4" t="s">
        <v>414</v>
      </c>
      <c r="C15" s="4" t="s">
        <v>415</v>
      </c>
      <c r="D15" s="4" t="s">
        <v>416</v>
      </c>
    </row>
    <row r="16" customFormat="false" ht="30" hidden="false" customHeight="true" outlineLevel="0" collapsed="false">
      <c r="A16" s="36" t="s">
        <v>417</v>
      </c>
      <c r="B16" s="37" t="s">
        <v>418</v>
      </c>
      <c r="C16" s="37" t="s">
        <v>419</v>
      </c>
      <c r="D16" s="37" t="s">
        <v>420</v>
      </c>
    </row>
    <row r="17" customFormat="false" ht="30" hidden="false" customHeight="true" outlineLevel="0" collapsed="false">
      <c r="A17" s="3" t="s">
        <v>421</v>
      </c>
      <c r="B17" s="4" t="s">
        <v>422</v>
      </c>
      <c r="C17" s="4" t="s">
        <v>423</v>
      </c>
      <c r="D17" s="4" t="s">
        <v>424</v>
      </c>
    </row>
    <row r="18" customFormat="false" ht="30" hidden="false" customHeight="true" outlineLevel="0" collapsed="false">
      <c r="A18" s="36" t="s">
        <v>425</v>
      </c>
      <c r="B18" s="37" t="s">
        <v>426</v>
      </c>
      <c r="C18" s="37" t="s">
        <v>427</v>
      </c>
      <c r="D18" s="37" t="s">
        <v>428</v>
      </c>
    </row>
    <row r="19" customFormat="false" ht="30" hidden="false" customHeight="true" outlineLevel="0" collapsed="false">
      <c r="A19" s="3" t="s">
        <v>429</v>
      </c>
      <c r="B19" s="4" t="s">
        <v>430</v>
      </c>
      <c r="C19" s="4" t="s">
        <v>431</v>
      </c>
      <c r="D19" s="4" t="s">
        <v>432</v>
      </c>
    </row>
    <row r="20" customFormat="false" ht="30" hidden="false" customHeight="true" outlineLevel="0" collapsed="false">
      <c r="A20" s="36" t="s">
        <v>433</v>
      </c>
      <c r="B20" s="37" t="s">
        <v>434</v>
      </c>
      <c r="C20" s="37" t="s">
        <v>435</v>
      </c>
      <c r="D20" s="37" t="s">
        <v>436</v>
      </c>
    </row>
    <row r="21" customFormat="false" ht="30" hidden="false" customHeight="true" outlineLevel="0" collapsed="false">
      <c r="A21" s="3" t="s">
        <v>437</v>
      </c>
      <c r="B21" s="4" t="s">
        <v>438</v>
      </c>
      <c r="C21" s="4" t="s">
        <v>439</v>
      </c>
      <c r="D21" s="4" t="s">
        <v>440</v>
      </c>
    </row>
    <row r="22" customFormat="false" ht="30" hidden="false" customHeight="true" outlineLevel="0" collapsed="false">
      <c r="A22" s="36" t="s">
        <v>441</v>
      </c>
      <c r="B22" s="37" t="s">
        <v>442</v>
      </c>
      <c r="C22" s="37" t="s">
        <v>443</v>
      </c>
      <c r="D22" s="37" t="s">
        <v>444</v>
      </c>
    </row>
    <row r="23" customFormat="false" ht="30" hidden="false" customHeight="true" outlineLevel="0" collapsed="false">
      <c r="A23" s="3" t="s">
        <v>445</v>
      </c>
      <c r="B23" s="4" t="s">
        <v>446</v>
      </c>
      <c r="C23" s="4" t="s">
        <v>447</v>
      </c>
      <c r="D23" s="4" t="s">
        <v>448</v>
      </c>
    </row>
    <row r="24" customFormat="false" ht="30" hidden="false" customHeight="true" outlineLevel="0" collapsed="false">
      <c r="A24" s="36" t="s">
        <v>449</v>
      </c>
      <c r="B24" s="37" t="s">
        <v>450</v>
      </c>
      <c r="C24" s="37" t="s">
        <v>451</v>
      </c>
      <c r="D24" s="37" t="s">
        <v>452</v>
      </c>
    </row>
    <row r="25" customFormat="false" ht="30" hidden="false" customHeight="true" outlineLevel="0" collapsed="false">
      <c r="A25" s="3" t="s">
        <v>453</v>
      </c>
      <c r="B25" s="4" t="s">
        <v>454</v>
      </c>
      <c r="C25" s="4" t="s">
        <v>455</v>
      </c>
      <c r="D25" s="4" t="s">
        <v>456</v>
      </c>
    </row>
    <row r="26" customFormat="false" ht="30" hidden="false" customHeight="true" outlineLevel="0" collapsed="false">
      <c r="A26" s="36" t="s">
        <v>457</v>
      </c>
      <c r="B26" s="37" t="s">
        <v>458</v>
      </c>
      <c r="C26" s="37" t="s">
        <v>459</v>
      </c>
      <c r="D26" s="37" t="s">
        <v>460</v>
      </c>
    </row>
    <row r="27" customFormat="false" ht="30" hidden="false" customHeight="true" outlineLevel="0" collapsed="false">
      <c r="A27" s="3" t="s">
        <v>461</v>
      </c>
      <c r="B27" s="4" t="s">
        <v>462</v>
      </c>
      <c r="C27" s="4" t="s">
        <v>463</v>
      </c>
      <c r="D27" s="4" t="s">
        <v>464</v>
      </c>
    </row>
    <row r="28" customFormat="false" ht="30" hidden="false" customHeight="true" outlineLevel="0" collapsed="false">
      <c r="A28" s="36" t="s">
        <v>465</v>
      </c>
      <c r="B28" s="37" t="s">
        <v>466</v>
      </c>
      <c r="C28" s="37" t="s">
        <v>467</v>
      </c>
      <c r="D28" s="37" t="s">
        <v>468</v>
      </c>
    </row>
    <row r="29" customFormat="false" ht="30" hidden="false" customHeight="true" outlineLevel="0" collapsed="false">
      <c r="A29" s="3" t="s">
        <v>469</v>
      </c>
      <c r="B29" s="4" t="s">
        <v>470</v>
      </c>
      <c r="C29" s="4" t="s">
        <v>471</v>
      </c>
      <c r="D29" s="4" t="s">
        <v>472</v>
      </c>
    </row>
    <row r="30" customFormat="false" ht="30" hidden="false" customHeight="true" outlineLevel="0" collapsed="false">
      <c r="A30" s="36" t="s">
        <v>473</v>
      </c>
      <c r="B30" s="37" t="s">
        <v>474</v>
      </c>
      <c r="C30" s="37" t="s">
        <v>475</v>
      </c>
      <c r="D30" s="37" t="s">
        <v>476</v>
      </c>
    </row>
    <row r="31" customFormat="false" ht="30" hidden="false" customHeight="true" outlineLevel="0" collapsed="false">
      <c r="A31" s="3" t="s">
        <v>477</v>
      </c>
      <c r="B31" s="4" t="s">
        <v>478</v>
      </c>
      <c r="C31" s="4" t="s">
        <v>479</v>
      </c>
      <c r="D31" s="4" t="s">
        <v>480</v>
      </c>
    </row>
    <row r="32" customFormat="false" ht="30" hidden="false" customHeight="true" outlineLevel="0" collapsed="false">
      <c r="A32" s="36" t="s">
        <v>481</v>
      </c>
      <c r="B32" s="37" t="s">
        <v>482</v>
      </c>
      <c r="C32" s="37" t="s">
        <v>483</v>
      </c>
      <c r="D32" s="37" t="s">
        <v>484</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2026-05-21T08:38:59Z</dcterms:created>
  <dc:creator>openpyxl</dc:creator>
  <dc:description/>
  <dc:language>en-US</dc:language>
  <cp:lastModifiedBy/>
  <dcterms:modified xsi:type="dcterms:W3CDTF">2026-05-21T08:39:00Z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